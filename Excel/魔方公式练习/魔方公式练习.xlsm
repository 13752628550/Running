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7.bin" ContentType="application/vnd.ms-office.activeX"/>
  <Override PartName="/xl/activeX/activeX10.xml" ContentType="application/vnd.ms-office.activeX+xml"/>
  <Override PartName="/xl/activeX/activeX8.bin" ContentType="application/vnd.ms-office.activeX"/>
  <Override PartName="/xl/activeX/activeX11.xml" ContentType="application/vnd.ms-office.activeX+xml"/>
  <Override PartName="/xl/activeX/activeX9.bin" ContentType="application/vnd.ms-office.activeX"/>
  <Override PartName="/xl/activeX/activeX12.xml" ContentType="application/vnd.ms-office.activeX+xml"/>
  <Override PartName="/xl/activeX/activeX10.bin" ContentType="application/vnd.ms-office.activeX"/>
  <Override PartName="/xl/activeX/activeX13.xml" ContentType="application/vnd.ms-office.activeX+xml"/>
  <Override PartName="/xl/activeX/activeX11.bin" ContentType="application/vnd.ms-office.activeX"/>
  <Override PartName="/xl/activeX/activeX14.xml" ContentType="application/vnd.ms-office.activeX+xml"/>
  <Override PartName="/xl/activeX/activeX1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chnic docume\procode\excel\魔方公式练习\"/>
    </mc:Choice>
  </mc:AlternateContent>
  <bookViews>
    <workbookView xWindow="960" yWindow="645" windowWidth="17835" windowHeight="718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3" hidden="1">Sheet4!$A$1:$E$1055</definedName>
  </definedNames>
  <calcPr calcId="152511"/>
</workbook>
</file>

<file path=xl/calcChain.xml><?xml version="1.0" encoding="utf-8"?>
<calcChain xmlns="http://schemas.openxmlformats.org/spreadsheetml/2006/main">
  <c r="E24" i="4" l="1"/>
  <c r="E880" i="4"/>
  <c r="C880" i="4"/>
  <c r="E745" i="4"/>
  <c r="C745" i="4"/>
  <c r="E630" i="4"/>
  <c r="C630" i="4"/>
  <c r="E556" i="4"/>
  <c r="C556" i="4"/>
  <c r="E555" i="4"/>
  <c r="C555" i="4"/>
  <c r="E520" i="4"/>
  <c r="C520" i="4"/>
  <c r="E463" i="4"/>
  <c r="C463" i="4"/>
  <c r="E310" i="4"/>
  <c r="C310" i="4"/>
  <c r="E309" i="4"/>
  <c r="C309" i="4"/>
  <c r="E196" i="4"/>
  <c r="C196" i="4"/>
  <c r="E195" i="4"/>
  <c r="C195" i="4"/>
  <c r="E53" i="4"/>
  <c r="C53" i="4"/>
  <c r="E52" i="4"/>
  <c r="C52" i="4"/>
  <c r="C24" i="4"/>
  <c r="E1055" i="4"/>
  <c r="C1055" i="4"/>
  <c r="E1053" i="4"/>
  <c r="C1053" i="4"/>
  <c r="E1052" i="4"/>
  <c r="C1052" i="4"/>
  <c r="E978" i="4"/>
  <c r="C978" i="4"/>
  <c r="E952" i="4"/>
  <c r="C952" i="4"/>
  <c r="E871" i="4"/>
  <c r="C871" i="4"/>
  <c r="E870" i="4"/>
  <c r="C870" i="4"/>
  <c r="E731" i="4"/>
  <c r="C731" i="4"/>
  <c r="E730" i="4"/>
  <c r="C730" i="4"/>
  <c r="E729" i="4"/>
  <c r="C729" i="4"/>
  <c r="E691" i="4"/>
  <c r="C691" i="4"/>
  <c r="E638" i="4"/>
  <c r="C638" i="4"/>
  <c r="E402" i="4"/>
  <c r="C402" i="4"/>
  <c r="E399" i="4"/>
  <c r="C399" i="4"/>
  <c r="E348" i="4"/>
  <c r="C348" i="4"/>
  <c r="E346" i="4"/>
  <c r="C346" i="4"/>
  <c r="E344" i="4"/>
  <c r="C344" i="4"/>
  <c r="E343" i="4"/>
  <c r="C343" i="4"/>
  <c r="E342" i="4"/>
  <c r="C342" i="4"/>
  <c r="E341" i="4"/>
  <c r="C341" i="4"/>
  <c r="E338" i="4"/>
  <c r="C338" i="4"/>
  <c r="E252" i="4"/>
  <c r="C252" i="4"/>
  <c r="E152" i="4"/>
  <c r="C152" i="4"/>
  <c r="E109" i="4"/>
  <c r="C109" i="4"/>
  <c r="E56" i="4"/>
  <c r="C56" i="4"/>
  <c r="E54" i="4"/>
  <c r="C54" i="4"/>
  <c r="E51" i="4"/>
  <c r="C51" i="4"/>
  <c r="E49" i="4"/>
  <c r="C49" i="4"/>
  <c r="E48" i="4"/>
  <c r="C48" i="4"/>
  <c r="E47" i="4"/>
  <c r="C47" i="4"/>
  <c r="E1044" i="4"/>
  <c r="C1044" i="4"/>
  <c r="E1043" i="4"/>
  <c r="C1043" i="4"/>
  <c r="E1042" i="4"/>
  <c r="C1042" i="4"/>
  <c r="E1041" i="4"/>
  <c r="C1041" i="4"/>
  <c r="E1036" i="4"/>
  <c r="C1036" i="4"/>
  <c r="E1026" i="4"/>
  <c r="C1026" i="4"/>
  <c r="E1024" i="4"/>
  <c r="C1024" i="4"/>
  <c r="E1007" i="4"/>
  <c r="C1007" i="4"/>
  <c r="E1005" i="4"/>
  <c r="C1005" i="4"/>
  <c r="E1004" i="4"/>
  <c r="C1004" i="4"/>
  <c r="E1001" i="4"/>
  <c r="C1001" i="4"/>
  <c r="E1000" i="4"/>
  <c r="C1000" i="4"/>
  <c r="E999" i="4"/>
  <c r="C999" i="4"/>
  <c r="E998" i="4"/>
  <c r="C998" i="4"/>
  <c r="E994" i="4"/>
  <c r="C994" i="4"/>
  <c r="E993" i="4"/>
  <c r="C993" i="4"/>
  <c r="E989" i="4"/>
  <c r="C989" i="4"/>
  <c r="E988" i="4"/>
  <c r="C988" i="4"/>
  <c r="E983" i="4"/>
  <c r="C983" i="4"/>
  <c r="E976" i="4"/>
  <c r="C976" i="4"/>
  <c r="E956" i="4"/>
  <c r="C956" i="4"/>
  <c r="E954" i="4"/>
  <c r="C954" i="4"/>
  <c r="E949" i="4"/>
  <c r="C949" i="4"/>
  <c r="E941" i="4"/>
  <c r="C941" i="4"/>
  <c r="E940" i="4"/>
  <c r="C940" i="4"/>
  <c r="E933" i="4"/>
  <c r="C933" i="4"/>
  <c r="E932" i="4"/>
  <c r="C932" i="4"/>
  <c r="E921" i="4"/>
  <c r="C921" i="4"/>
  <c r="E917" i="4"/>
  <c r="C917" i="4"/>
  <c r="E909" i="4"/>
  <c r="C909" i="4"/>
  <c r="E908" i="4"/>
  <c r="C908" i="4"/>
  <c r="E896" i="4"/>
  <c r="C896" i="4"/>
  <c r="E885" i="4"/>
  <c r="C885" i="4"/>
  <c r="E884" i="4"/>
  <c r="C884" i="4"/>
  <c r="E883" i="4"/>
  <c r="C883" i="4"/>
  <c r="E882" i="4"/>
  <c r="C882" i="4"/>
  <c r="E881" i="4"/>
  <c r="C881" i="4"/>
  <c r="E875" i="4"/>
  <c r="C875" i="4"/>
  <c r="E869" i="4"/>
  <c r="C869" i="4"/>
  <c r="E868" i="4"/>
  <c r="C868" i="4"/>
  <c r="E866" i="4"/>
  <c r="C866" i="4"/>
  <c r="E865" i="4"/>
  <c r="C865" i="4"/>
  <c r="E862" i="4"/>
  <c r="C862" i="4"/>
  <c r="E853" i="4"/>
  <c r="C853" i="4"/>
  <c r="E852" i="4"/>
  <c r="C852" i="4"/>
  <c r="E846" i="4"/>
  <c r="C846" i="4"/>
  <c r="E845" i="4"/>
  <c r="C845" i="4"/>
  <c r="E844" i="4"/>
  <c r="C844" i="4"/>
  <c r="E834" i="4"/>
  <c r="C834" i="4"/>
  <c r="E832" i="4"/>
  <c r="C832" i="4"/>
  <c r="E830" i="4"/>
  <c r="C830" i="4"/>
  <c r="E829" i="4"/>
  <c r="C829" i="4"/>
  <c r="E828" i="4"/>
  <c r="C828" i="4"/>
  <c r="E827" i="4"/>
  <c r="C827" i="4"/>
  <c r="E826" i="4"/>
  <c r="C826" i="4"/>
  <c r="E814" i="4"/>
  <c r="C814" i="4"/>
  <c r="E808" i="4"/>
  <c r="C808" i="4"/>
  <c r="E807" i="4"/>
  <c r="C807" i="4"/>
  <c r="E806" i="4"/>
  <c r="C806" i="4"/>
  <c r="E802" i="4"/>
  <c r="C802" i="4"/>
  <c r="E801" i="4"/>
  <c r="C801" i="4"/>
  <c r="E800" i="4"/>
  <c r="C800" i="4"/>
  <c r="E799" i="4"/>
  <c r="C799" i="4"/>
  <c r="E796" i="4"/>
  <c r="C796" i="4"/>
  <c r="E791" i="4"/>
  <c r="C791" i="4"/>
  <c r="E770" i="4"/>
  <c r="C770" i="4"/>
  <c r="E767" i="4"/>
  <c r="C767" i="4"/>
  <c r="E748" i="4"/>
  <c r="C748" i="4"/>
  <c r="E727" i="4"/>
  <c r="C727" i="4"/>
  <c r="E726" i="4"/>
  <c r="C726" i="4"/>
  <c r="E725" i="4"/>
  <c r="C725" i="4"/>
  <c r="E724" i="4"/>
  <c r="C724" i="4"/>
  <c r="E722" i="4"/>
  <c r="C722" i="4"/>
  <c r="E716" i="4"/>
  <c r="C716" i="4"/>
  <c r="E702" i="4"/>
  <c r="C702" i="4"/>
  <c r="E693" i="4"/>
  <c r="C693" i="4"/>
  <c r="E692" i="4"/>
  <c r="C692" i="4"/>
  <c r="E690" i="4"/>
  <c r="C690" i="4"/>
  <c r="E688" i="4"/>
  <c r="C688" i="4"/>
  <c r="E687" i="4"/>
  <c r="C687" i="4"/>
  <c r="E686" i="4"/>
  <c r="C686" i="4"/>
  <c r="E683" i="4"/>
  <c r="C683" i="4"/>
  <c r="E657" i="4"/>
  <c r="C657" i="4"/>
  <c r="E652" i="4"/>
  <c r="C652" i="4"/>
  <c r="E643" i="4"/>
  <c r="C643" i="4"/>
  <c r="E637" i="4"/>
  <c r="C637" i="4"/>
  <c r="E636" i="4"/>
  <c r="C636" i="4"/>
  <c r="E629" i="4"/>
  <c r="C629" i="4"/>
  <c r="E625" i="4"/>
  <c r="C625" i="4"/>
  <c r="E618" i="4"/>
  <c r="C618" i="4"/>
  <c r="E616" i="4"/>
  <c r="C616" i="4"/>
  <c r="E615" i="4"/>
  <c r="C615" i="4"/>
  <c r="E612" i="4"/>
  <c r="C612" i="4"/>
  <c r="E609" i="4"/>
  <c r="C609" i="4"/>
  <c r="E608" i="4"/>
  <c r="C608" i="4"/>
  <c r="E607" i="4"/>
  <c r="C607" i="4"/>
  <c r="E606" i="4"/>
  <c r="C606" i="4"/>
  <c r="E595" i="4"/>
  <c r="C595" i="4"/>
  <c r="E592" i="4"/>
  <c r="C592" i="4"/>
  <c r="E585" i="4"/>
  <c r="C585" i="4"/>
  <c r="E584" i="4"/>
  <c r="C584" i="4"/>
  <c r="E583" i="4"/>
  <c r="C583" i="4"/>
  <c r="E575" i="4"/>
  <c r="C575" i="4"/>
  <c r="E574" i="4"/>
  <c r="C574" i="4"/>
  <c r="E573" i="4"/>
  <c r="C573" i="4"/>
  <c r="E572" i="4"/>
  <c r="C572" i="4"/>
  <c r="E571" i="4"/>
  <c r="C571" i="4"/>
  <c r="E570" i="4"/>
  <c r="C570" i="4"/>
  <c r="E559" i="4"/>
  <c r="C559" i="4"/>
  <c r="E545" i="4"/>
  <c r="C545" i="4"/>
  <c r="E544" i="4"/>
  <c r="C544" i="4"/>
  <c r="E543" i="4"/>
  <c r="C543" i="4"/>
  <c r="E536" i="4"/>
  <c r="C536" i="4"/>
  <c r="E534" i="4"/>
  <c r="C534" i="4"/>
  <c r="E530" i="4"/>
  <c r="C530" i="4"/>
  <c r="E529" i="4"/>
  <c r="C529" i="4"/>
  <c r="E528" i="4"/>
  <c r="C528" i="4"/>
  <c r="E527" i="4"/>
  <c r="C527" i="4"/>
  <c r="E526" i="4"/>
  <c r="C526" i="4"/>
  <c r="E521" i="4"/>
  <c r="C521" i="4"/>
  <c r="E519" i="4"/>
  <c r="C519" i="4"/>
  <c r="E518" i="4"/>
  <c r="C518" i="4"/>
  <c r="E517" i="4"/>
  <c r="C517" i="4"/>
  <c r="E516" i="4"/>
  <c r="C516" i="4"/>
  <c r="E515" i="4"/>
  <c r="C515" i="4"/>
  <c r="E514" i="4"/>
  <c r="C514" i="4"/>
  <c r="E513" i="4"/>
  <c r="C513" i="4"/>
  <c r="E503" i="4"/>
  <c r="C503" i="4"/>
  <c r="E501" i="4"/>
  <c r="C501" i="4"/>
  <c r="E487" i="4"/>
  <c r="C487" i="4"/>
  <c r="E469" i="4"/>
  <c r="C469" i="4"/>
  <c r="E468" i="4"/>
  <c r="C468" i="4"/>
  <c r="E467" i="4"/>
  <c r="C467" i="4"/>
  <c r="E464" i="4"/>
  <c r="C464" i="4"/>
  <c r="E461" i="4"/>
  <c r="C461" i="4"/>
  <c r="E445" i="4"/>
  <c r="C445" i="4"/>
  <c r="E443" i="4"/>
  <c r="C443" i="4"/>
  <c r="E437" i="4"/>
  <c r="C437" i="4"/>
  <c r="E436" i="4"/>
  <c r="C436" i="4"/>
  <c r="E433" i="4"/>
  <c r="C433" i="4"/>
  <c r="E432" i="4"/>
  <c r="C432" i="4"/>
  <c r="E431" i="4"/>
  <c r="C431" i="4"/>
  <c r="E425" i="4"/>
  <c r="C425" i="4"/>
  <c r="E422" i="4"/>
  <c r="C422" i="4"/>
  <c r="E419" i="4"/>
  <c r="C419" i="4"/>
  <c r="E405" i="4"/>
  <c r="C405" i="4"/>
  <c r="E394" i="4"/>
  <c r="C394" i="4"/>
  <c r="E393" i="4"/>
  <c r="C393" i="4"/>
  <c r="E389" i="4"/>
  <c r="C389" i="4"/>
  <c r="E386" i="4"/>
  <c r="C386" i="4"/>
  <c r="E379" i="4"/>
  <c r="C379" i="4"/>
  <c r="E374" i="4"/>
  <c r="C374" i="4"/>
  <c r="E373" i="4"/>
  <c r="C373" i="4"/>
  <c r="E371" i="4"/>
  <c r="C371" i="4"/>
  <c r="E370" i="4"/>
  <c r="C370" i="4"/>
  <c r="E363" i="4"/>
  <c r="C363" i="4"/>
  <c r="E362" i="4"/>
  <c r="C362" i="4"/>
  <c r="E358" i="4"/>
  <c r="C358" i="4"/>
  <c r="E352" i="4"/>
  <c r="C352" i="4"/>
  <c r="E351" i="4"/>
  <c r="C351" i="4"/>
  <c r="E350" i="4"/>
  <c r="C350" i="4"/>
  <c r="E337" i="4"/>
  <c r="C337" i="4"/>
  <c r="E336" i="4"/>
  <c r="C336" i="4"/>
  <c r="E334" i="4"/>
  <c r="C334" i="4"/>
  <c r="E325" i="4"/>
  <c r="C325" i="4"/>
  <c r="E317" i="4"/>
  <c r="C317" i="4"/>
  <c r="E316" i="4"/>
  <c r="C316" i="4"/>
  <c r="E315" i="4"/>
  <c r="C315" i="4"/>
  <c r="E313" i="4"/>
  <c r="C313" i="4"/>
  <c r="E312" i="4"/>
  <c r="C312" i="4"/>
  <c r="E311" i="4"/>
  <c r="C311" i="4"/>
  <c r="E307" i="4"/>
  <c r="C307" i="4"/>
  <c r="E306" i="4"/>
  <c r="C306" i="4"/>
  <c r="E302" i="4"/>
  <c r="C302" i="4"/>
  <c r="E301" i="4"/>
  <c r="C301" i="4"/>
  <c r="E300" i="4"/>
  <c r="C300" i="4"/>
  <c r="E298" i="4"/>
  <c r="C298" i="4"/>
  <c r="E297" i="4"/>
  <c r="C297" i="4"/>
  <c r="E285" i="4"/>
  <c r="C285" i="4"/>
  <c r="E283" i="4"/>
  <c r="C283" i="4"/>
  <c r="E280" i="4"/>
  <c r="C280" i="4"/>
  <c r="E279" i="4"/>
  <c r="C279" i="4"/>
  <c r="E278" i="4"/>
  <c r="C278" i="4"/>
  <c r="E272" i="4"/>
  <c r="C272" i="4"/>
  <c r="E271" i="4"/>
  <c r="C271" i="4"/>
  <c r="E270" i="4"/>
  <c r="C270" i="4"/>
  <c r="E268" i="4"/>
  <c r="C268" i="4"/>
  <c r="E267" i="4"/>
  <c r="C267" i="4"/>
  <c r="E265" i="4"/>
  <c r="C265" i="4"/>
  <c r="E258" i="4"/>
  <c r="C258" i="4"/>
  <c r="E257" i="4"/>
  <c r="C257" i="4"/>
  <c r="E256" i="4"/>
  <c r="C256" i="4"/>
  <c r="E249" i="4"/>
  <c r="C249" i="4"/>
  <c r="E241" i="4"/>
  <c r="C241" i="4"/>
  <c r="E239" i="4"/>
  <c r="C239" i="4"/>
  <c r="E210" i="4"/>
  <c r="C210" i="4"/>
  <c r="E209" i="4"/>
  <c r="C209" i="4"/>
  <c r="E197" i="4"/>
  <c r="C197" i="4"/>
  <c r="E169" i="4"/>
  <c r="C169" i="4"/>
  <c r="E168" i="4"/>
  <c r="C168" i="4"/>
  <c r="E167" i="4"/>
  <c r="C167" i="4"/>
  <c r="E166" i="4"/>
  <c r="C166" i="4"/>
  <c r="E161" i="4"/>
  <c r="C161" i="4"/>
  <c r="E159" i="4"/>
  <c r="C159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33" i="4"/>
  <c r="C133" i="4"/>
  <c r="E132" i="4"/>
  <c r="C132" i="4"/>
  <c r="E130" i="4"/>
  <c r="C130" i="4"/>
  <c r="E125" i="4"/>
  <c r="C125" i="4"/>
  <c r="E122" i="4"/>
  <c r="C122" i="4"/>
  <c r="E121" i="4"/>
  <c r="C121" i="4"/>
  <c r="E117" i="4"/>
  <c r="C117" i="4"/>
  <c r="E116" i="4"/>
  <c r="C116" i="4"/>
  <c r="E110" i="4"/>
  <c r="C110" i="4"/>
  <c r="E108" i="4"/>
  <c r="C108" i="4"/>
  <c r="E107" i="4"/>
  <c r="C107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4" i="4"/>
  <c r="C94" i="4"/>
  <c r="E93" i="4"/>
  <c r="C93" i="4"/>
  <c r="E92" i="4"/>
  <c r="C92" i="4"/>
  <c r="E91" i="4"/>
  <c r="C91" i="4"/>
  <c r="E82" i="4"/>
  <c r="C82" i="4"/>
  <c r="E81" i="4"/>
  <c r="C81" i="4"/>
  <c r="E73" i="4"/>
  <c r="C73" i="4"/>
  <c r="E72" i="4"/>
  <c r="C72" i="4"/>
  <c r="E69" i="4"/>
  <c r="C69" i="4"/>
  <c r="E68" i="4"/>
  <c r="C68" i="4"/>
  <c r="E67" i="4"/>
  <c r="C67" i="4"/>
  <c r="E66" i="4"/>
  <c r="C66" i="4"/>
  <c r="E59" i="4"/>
  <c r="C59" i="4"/>
  <c r="E58" i="4"/>
  <c r="C58" i="4"/>
  <c r="E40" i="4"/>
  <c r="C40" i="4"/>
  <c r="E39" i="4"/>
  <c r="C39" i="4"/>
  <c r="E38" i="4"/>
  <c r="C38" i="4"/>
  <c r="E26" i="4"/>
  <c r="C26" i="4"/>
  <c r="E25" i="4"/>
  <c r="C25" i="4"/>
  <c r="E23" i="4"/>
  <c r="C23" i="4"/>
  <c r="E22" i="4"/>
  <c r="C22" i="4"/>
  <c r="C21" i="4"/>
  <c r="A1028" i="4"/>
  <c r="C1028" i="4"/>
  <c r="D1028" i="4"/>
  <c r="E102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2" i="4"/>
  <c r="A3" i="4"/>
  <c r="A4" i="4"/>
  <c r="A5" i="4"/>
  <c r="A6" i="4"/>
  <c r="A7" i="4"/>
  <c r="A8" i="4"/>
  <c r="A9" i="4"/>
  <c r="A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7" i="4"/>
  <c r="E28" i="4"/>
  <c r="E29" i="4"/>
  <c r="E30" i="4"/>
  <c r="E31" i="4"/>
  <c r="E32" i="4"/>
  <c r="E33" i="4"/>
  <c r="E34" i="4"/>
  <c r="E35" i="4"/>
  <c r="E36" i="4"/>
  <c r="E37" i="4"/>
  <c r="E41" i="4"/>
  <c r="E42" i="4"/>
  <c r="E43" i="4"/>
  <c r="E44" i="4"/>
  <c r="E45" i="4"/>
  <c r="E46" i="4"/>
  <c r="E50" i="4"/>
  <c r="E55" i="4"/>
  <c r="E57" i="4"/>
  <c r="E60" i="4"/>
  <c r="E61" i="4"/>
  <c r="E62" i="4"/>
  <c r="E63" i="4"/>
  <c r="E64" i="4"/>
  <c r="E65" i="4"/>
  <c r="E70" i="4"/>
  <c r="E71" i="4"/>
  <c r="E74" i="4"/>
  <c r="E75" i="4"/>
  <c r="E76" i="4"/>
  <c r="E77" i="4"/>
  <c r="E78" i="4"/>
  <c r="E79" i="4"/>
  <c r="E80" i="4"/>
  <c r="E83" i="4"/>
  <c r="E84" i="4"/>
  <c r="E85" i="4"/>
  <c r="E86" i="4"/>
  <c r="E87" i="4"/>
  <c r="E88" i="4"/>
  <c r="E89" i="4"/>
  <c r="E90" i="4"/>
  <c r="E95" i="4"/>
  <c r="E104" i="4"/>
  <c r="E105" i="4"/>
  <c r="E106" i="4"/>
  <c r="E111" i="4"/>
  <c r="E112" i="4"/>
  <c r="E113" i="4"/>
  <c r="E114" i="4"/>
  <c r="E115" i="4"/>
  <c r="E118" i="4"/>
  <c r="E119" i="4"/>
  <c r="E120" i="4"/>
  <c r="E123" i="4"/>
  <c r="E124" i="4"/>
  <c r="E126" i="4"/>
  <c r="E127" i="4"/>
  <c r="E128" i="4"/>
  <c r="E129" i="4"/>
  <c r="E131" i="4"/>
  <c r="E134" i="4"/>
  <c r="E135" i="4"/>
  <c r="E136" i="4"/>
  <c r="E137" i="4"/>
  <c r="E138" i="4"/>
  <c r="E139" i="4"/>
  <c r="E140" i="4"/>
  <c r="E150" i="4"/>
  <c r="E151" i="4"/>
  <c r="E153" i="4"/>
  <c r="E154" i="4"/>
  <c r="E155" i="4"/>
  <c r="E156" i="4"/>
  <c r="E157" i="4"/>
  <c r="E158" i="4"/>
  <c r="E160" i="4"/>
  <c r="E162" i="4"/>
  <c r="E163" i="4"/>
  <c r="E164" i="4"/>
  <c r="E165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8" i="4"/>
  <c r="E199" i="4"/>
  <c r="E200" i="4"/>
  <c r="E201" i="4"/>
  <c r="E202" i="4"/>
  <c r="E203" i="4"/>
  <c r="E204" i="4"/>
  <c r="E205" i="4"/>
  <c r="E206" i="4"/>
  <c r="E207" i="4"/>
  <c r="E208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40" i="4"/>
  <c r="E242" i="4"/>
  <c r="E243" i="4"/>
  <c r="E244" i="4"/>
  <c r="E245" i="4"/>
  <c r="E246" i="4"/>
  <c r="E247" i="4"/>
  <c r="E248" i="4"/>
  <c r="E250" i="4"/>
  <c r="E251" i="4"/>
  <c r="E253" i="4"/>
  <c r="E254" i="4"/>
  <c r="E255" i="4"/>
  <c r="E259" i="4"/>
  <c r="E260" i="4"/>
  <c r="E261" i="4"/>
  <c r="E262" i="4"/>
  <c r="E263" i="4"/>
  <c r="E264" i="4"/>
  <c r="E266" i="4"/>
  <c r="E269" i="4"/>
  <c r="E273" i="4"/>
  <c r="E274" i="4"/>
  <c r="E275" i="4"/>
  <c r="E276" i="4"/>
  <c r="E277" i="4"/>
  <c r="E281" i="4"/>
  <c r="E282" i="4"/>
  <c r="E284" i="4"/>
  <c r="E286" i="4"/>
  <c r="E287" i="4"/>
  <c r="E288" i="4"/>
  <c r="E289" i="4"/>
  <c r="E290" i="4"/>
  <c r="E291" i="4"/>
  <c r="E292" i="4"/>
  <c r="E293" i="4"/>
  <c r="E294" i="4"/>
  <c r="E295" i="4"/>
  <c r="E296" i="4"/>
  <c r="E299" i="4"/>
  <c r="E303" i="4"/>
  <c r="E304" i="4"/>
  <c r="E305" i="4"/>
  <c r="E308" i="4"/>
  <c r="E314" i="4"/>
  <c r="E318" i="4"/>
  <c r="E319" i="4"/>
  <c r="E320" i="4"/>
  <c r="E321" i="4"/>
  <c r="E322" i="4"/>
  <c r="E323" i="4"/>
  <c r="E324" i="4"/>
  <c r="E326" i="4"/>
  <c r="E327" i="4"/>
  <c r="E328" i="4"/>
  <c r="E329" i="4"/>
  <c r="E330" i="4"/>
  <c r="E331" i="4"/>
  <c r="E332" i="4"/>
  <c r="E333" i="4"/>
  <c r="E335" i="4"/>
  <c r="E339" i="4"/>
  <c r="E340" i="4"/>
  <c r="E345" i="4"/>
  <c r="E347" i="4"/>
  <c r="E349" i="4"/>
  <c r="E353" i="4"/>
  <c r="E354" i="4"/>
  <c r="E355" i="4"/>
  <c r="E356" i="4"/>
  <c r="E357" i="4"/>
  <c r="E359" i="4"/>
  <c r="E360" i="4"/>
  <c r="E361" i="4"/>
  <c r="E364" i="4"/>
  <c r="E365" i="4"/>
  <c r="E366" i="4"/>
  <c r="E367" i="4"/>
  <c r="E368" i="4"/>
  <c r="E369" i="4"/>
  <c r="E372" i="4"/>
  <c r="E375" i="4"/>
  <c r="E376" i="4"/>
  <c r="E377" i="4"/>
  <c r="E378" i="4"/>
  <c r="E380" i="4"/>
  <c r="E381" i="4"/>
  <c r="E382" i="4"/>
  <c r="E383" i="4"/>
  <c r="E384" i="4"/>
  <c r="E385" i="4"/>
  <c r="E387" i="4"/>
  <c r="E388" i="4"/>
  <c r="E390" i="4"/>
  <c r="E391" i="4"/>
  <c r="E392" i="4"/>
  <c r="E395" i="4"/>
  <c r="E396" i="4"/>
  <c r="E397" i="4"/>
  <c r="E398" i="4"/>
  <c r="E400" i="4"/>
  <c r="E401" i="4"/>
  <c r="E403" i="4"/>
  <c r="E404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20" i="4"/>
  <c r="E421" i="4"/>
  <c r="E423" i="4"/>
  <c r="E424" i="4"/>
  <c r="E426" i="4"/>
  <c r="E427" i="4"/>
  <c r="E428" i="4"/>
  <c r="E429" i="4"/>
  <c r="E430" i="4"/>
  <c r="E434" i="4"/>
  <c r="E435" i="4"/>
  <c r="E438" i="4"/>
  <c r="E439" i="4"/>
  <c r="E440" i="4"/>
  <c r="E441" i="4"/>
  <c r="E442" i="4"/>
  <c r="E444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2" i="4"/>
  <c r="E465" i="4"/>
  <c r="E466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2" i="4"/>
  <c r="E504" i="4"/>
  <c r="E505" i="4"/>
  <c r="E506" i="4"/>
  <c r="E507" i="4"/>
  <c r="E508" i="4"/>
  <c r="E509" i="4"/>
  <c r="E510" i="4"/>
  <c r="E511" i="4"/>
  <c r="E512" i="4"/>
  <c r="E522" i="4"/>
  <c r="E523" i="4"/>
  <c r="E524" i="4"/>
  <c r="E525" i="4"/>
  <c r="E531" i="4"/>
  <c r="E532" i="4"/>
  <c r="E533" i="4"/>
  <c r="E535" i="4"/>
  <c r="E537" i="4"/>
  <c r="E538" i="4"/>
  <c r="E539" i="4"/>
  <c r="E540" i="4"/>
  <c r="E541" i="4"/>
  <c r="E542" i="4"/>
  <c r="E546" i="4"/>
  <c r="E547" i="4"/>
  <c r="E548" i="4"/>
  <c r="E549" i="4"/>
  <c r="E550" i="4"/>
  <c r="E551" i="4"/>
  <c r="E552" i="4"/>
  <c r="E553" i="4"/>
  <c r="E554" i="4"/>
  <c r="E557" i="4"/>
  <c r="E558" i="4"/>
  <c r="E560" i="4"/>
  <c r="E561" i="4"/>
  <c r="E562" i="4"/>
  <c r="E563" i="4"/>
  <c r="E564" i="4"/>
  <c r="E565" i="4"/>
  <c r="E566" i="4"/>
  <c r="E567" i="4"/>
  <c r="E568" i="4"/>
  <c r="E569" i="4"/>
  <c r="E576" i="4"/>
  <c r="E577" i="4"/>
  <c r="E578" i="4"/>
  <c r="E579" i="4"/>
  <c r="E580" i="4"/>
  <c r="E581" i="4"/>
  <c r="E582" i="4"/>
  <c r="E586" i="4"/>
  <c r="E587" i="4"/>
  <c r="E588" i="4"/>
  <c r="E589" i="4"/>
  <c r="E590" i="4"/>
  <c r="E591" i="4"/>
  <c r="E593" i="4"/>
  <c r="E594" i="4"/>
  <c r="E596" i="4"/>
  <c r="E597" i="4"/>
  <c r="E598" i="4"/>
  <c r="E599" i="4"/>
  <c r="E600" i="4"/>
  <c r="E601" i="4"/>
  <c r="E602" i="4"/>
  <c r="E603" i="4"/>
  <c r="E604" i="4"/>
  <c r="E605" i="4"/>
  <c r="E610" i="4"/>
  <c r="E611" i="4"/>
  <c r="E613" i="4"/>
  <c r="E614" i="4"/>
  <c r="E617" i="4"/>
  <c r="E619" i="4"/>
  <c r="E620" i="4"/>
  <c r="E621" i="4"/>
  <c r="E622" i="4"/>
  <c r="E623" i="4"/>
  <c r="E624" i="4"/>
  <c r="E626" i="4"/>
  <c r="E627" i="4"/>
  <c r="E628" i="4"/>
  <c r="E631" i="4"/>
  <c r="E632" i="4"/>
  <c r="E633" i="4"/>
  <c r="E634" i="4"/>
  <c r="E635" i="4"/>
  <c r="E639" i="4"/>
  <c r="E640" i="4"/>
  <c r="E641" i="4"/>
  <c r="E642" i="4"/>
  <c r="E644" i="4"/>
  <c r="E645" i="4"/>
  <c r="E646" i="4"/>
  <c r="E647" i="4"/>
  <c r="E648" i="4"/>
  <c r="E649" i="4"/>
  <c r="E650" i="4"/>
  <c r="E651" i="4"/>
  <c r="E653" i="4"/>
  <c r="E654" i="4"/>
  <c r="E655" i="4"/>
  <c r="E656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4" i="4"/>
  <c r="E685" i="4"/>
  <c r="E689" i="4"/>
  <c r="E694" i="4"/>
  <c r="E695" i="4"/>
  <c r="E696" i="4"/>
  <c r="E697" i="4"/>
  <c r="E698" i="4"/>
  <c r="E699" i="4"/>
  <c r="E700" i="4"/>
  <c r="E701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7" i="4"/>
  <c r="E718" i="4"/>
  <c r="E719" i="4"/>
  <c r="E720" i="4"/>
  <c r="E721" i="4"/>
  <c r="E723" i="4"/>
  <c r="E728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6" i="4"/>
  <c r="E747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8" i="4"/>
  <c r="E769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2" i="4"/>
  <c r="E793" i="4"/>
  <c r="E794" i="4"/>
  <c r="E795" i="4"/>
  <c r="E797" i="4"/>
  <c r="E798" i="4"/>
  <c r="E803" i="4"/>
  <c r="E804" i="4"/>
  <c r="E805" i="4"/>
  <c r="E809" i="4"/>
  <c r="E810" i="4"/>
  <c r="E811" i="4"/>
  <c r="E812" i="4"/>
  <c r="E813" i="4"/>
  <c r="E815" i="4"/>
  <c r="E816" i="4"/>
  <c r="E817" i="4"/>
  <c r="E818" i="4"/>
  <c r="E819" i="4"/>
  <c r="E820" i="4"/>
  <c r="E821" i="4"/>
  <c r="E822" i="4"/>
  <c r="E823" i="4"/>
  <c r="E824" i="4"/>
  <c r="E825" i="4"/>
  <c r="E831" i="4"/>
  <c r="E833" i="4"/>
  <c r="E835" i="4"/>
  <c r="E836" i="4"/>
  <c r="E837" i="4"/>
  <c r="E838" i="4"/>
  <c r="E839" i="4"/>
  <c r="E840" i="4"/>
  <c r="E841" i="4"/>
  <c r="E842" i="4"/>
  <c r="E843" i="4"/>
  <c r="E847" i="4"/>
  <c r="E848" i="4"/>
  <c r="E849" i="4"/>
  <c r="E850" i="4"/>
  <c r="E851" i="4"/>
  <c r="E854" i="4"/>
  <c r="E855" i="4"/>
  <c r="E856" i="4"/>
  <c r="E857" i="4"/>
  <c r="E858" i="4"/>
  <c r="E859" i="4"/>
  <c r="E860" i="4"/>
  <c r="E861" i="4"/>
  <c r="E863" i="4"/>
  <c r="E864" i="4"/>
  <c r="E867" i="4"/>
  <c r="E872" i="4"/>
  <c r="E873" i="4"/>
  <c r="E874" i="4"/>
  <c r="E876" i="4"/>
  <c r="E877" i="4"/>
  <c r="E878" i="4"/>
  <c r="E879" i="4"/>
  <c r="E886" i="4"/>
  <c r="E887" i="4"/>
  <c r="E888" i="4"/>
  <c r="E889" i="4"/>
  <c r="E890" i="4"/>
  <c r="E891" i="4"/>
  <c r="E892" i="4"/>
  <c r="E893" i="4"/>
  <c r="E894" i="4"/>
  <c r="E895" i="4"/>
  <c r="E897" i="4"/>
  <c r="E898" i="4"/>
  <c r="E899" i="4"/>
  <c r="E900" i="4"/>
  <c r="E901" i="4"/>
  <c r="E902" i="4"/>
  <c r="E903" i="4"/>
  <c r="E904" i="4"/>
  <c r="E905" i="4"/>
  <c r="E906" i="4"/>
  <c r="E907" i="4"/>
  <c r="E910" i="4"/>
  <c r="E911" i="4"/>
  <c r="E912" i="4"/>
  <c r="E913" i="4"/>
  <c r="E914" i="4"/>
  <c r="E915" i="4"/>
  <c r="E916" i="4"/>
  <c r="E918" i="4"/>
  <c r="E919" i="4"/>
  <c r="E920" i="4"/>
  <c r="E922" i="4"/>
  <c r="E923" i="4"/>
  <c r="E924" i="4"/>
  <c r="E925" i="4"/>
  <c r="E926" i="4"/>
  <c r="E927" i="4"/>
  <c r="E928" i="4"/>
  <c r="E929" i="4"/>
  <c r="E930" i="4"/>
  <c r="E931" i="4"/>
  <c r="E934" i="4"/>
  <c r="E935" i="4"/>
  <c r="E936" i="4"/>
  <c r="E937" i="4"/>
  <c r="E938" i="4"/>
  <c r="E939" i="4"/>
  <c r="E942" i="4"/>
  <c r="E943" i="4"/>
  <c r="E944" i="4"/>
  <c r="E945" i="4"/>
  <c r="E946" i="4"/>
  <c r="E947" i="4"/>
  <c r="E948" i="4"/>
  <c r="E950" i="4"/>
  <c r="E951" i="4"/>
  <c r="E953" i="4"/>
  <c r="E955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7" i="4"/>
  <c r="E979" i="4"/>
  <c r="E980" i="4"/>
  <c r="E981" i="4"/>
  <c r="E982" i="4"/>
  <c r="E984" i="4"/>
  <c r="E985" i="4"/>
  <c r="E986" i="4"/>
  <c r="E987" i="4"/>
  <c r="E990" i="4"/>
  <c r="E991" i="4"/>
  <c r="E992" i="4"/>
  <c r="E995" i="4"/>
  <c r="E996" i="4"/>
  <c r="E997" i="4"/>
  <c r="E1002" i="4"/>
  <c r="E1003" i="4"/>
  <c r="E1006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5" i="4"/>
  <c r="E1027" i="4"/>
  <c r="E1029" i="4"/>
  <c r="E1030" i="4"/>
  <c r="E1031" i="4"/>
  <c r="E1032" i="4"/>
  <c r="E1033" i="4"/>
  <c r="E1034" i="4"/>
  <c r="E1035" i="4"/>
  <c r="E1037" i="4"/>
  <c r="E1038" i="4"/>
  <c r="E1039" i="4"/>
  <c r="E1040" i="4"/>
  <c r="E1045" i="4"/>
  <c r="E1046" i="4"/>
  <c r="E1047" i="4"/>
  <c r="E1048" i="4"/>
  <c r="E1049" i="4"/>
  <c r="E1050" i="4"/>
  <c r="E1051" i="4"/>
  <c r="E1054" i="4"/>
  <c r="E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7" i="4"/>
  <c r="D28" i="4"/>
  <c r="D29" i="4"/>
  <c r="D30" i="4"/>
  <c r="D31" i="4"/>
  <c r="D32" i="4"/>
  <c r="D33" i="4"/>
  <c r="D34" i="4"/>
  <c r="D35" i="4"/>
  <c r="D36" i="4"/>
  <c r="D37" i="4"/>
  <c r="D41" i="4"/>
  <c r="D42" i="4"/>
  <c r="D43" i="4"/>
  <c r="D44" i="4"/>
  <c r="D45" i="4"/>
  <c r="D46" i="4"/>
  <c r="D50" i="4"/>
  <c r="D55" i="4"/>
  <c r="D57" i="4"/>
  <c r="D60" i="4"/>
  <c r="D61" i="4"/>
  <c r="D62" i="4"/>
  <c r="D63" i="4"/>
  <c r="D64" i="4"/>
  <c r="D65" i="4"/>
  <c r="D70" i="4"/>
  <c r="D71" i="4"/>
  <c r="D74" i="4"/>
  <c r="D75" i="4"/>
  <c r="D76" i="4"/>
  <c r="D77" i="4"/>
  <c r="D78" i="4"/>
  <c r="D79" i="4"/>
  <c r="D80" i="4"/>
  <c r="D83" i="4"/>
  <c r="D84" i="4"/>
  <c r="D85" i="4"/>
  <c r="D86" i="4"/>
  <c r="D87" i="4"/>
  <c r="D88" i="4"/>
  <c r="D89" i="4"/>
  <c r="D90" i="4"/>
  <c r="D95" i="4"/>
  <c r="D104" i="4"/>
  <c r="D105" i="4"/>
  <c r="D106" i="4"/>
  <c r="D111" i="4"/>
  <c r="D112" i="4"/>
  <c r="D113" i="4"/>
  <c r="D114" i="4"/>
  <c r="D115" i="4"/>
  <c r="D118" i="4"/>
  <c r="D119" i="4"/>
  <c r="D120" i="4"/>
  <c r="D123" i="4"/>
  <c r="D124" i="4"/>
  <c r="D126" i="4"/>
  <c r="D127" i="4"/>
  <c r="D128" i="4"/>
  <c r="D129" i="4"/>
  <c r="D131" i="4"/>
  <c r="D134" i="4"/>
  <c r="D135" i="4"/>
  <c r="D136" i="4"/>
  <c r="D137" i="4"/>
  <c r="D138" i="4"/>
  <c r="D139" i="4"/>
  <c r="D140" i="4"/>
  <c r="D150" i="4"/>
  <c r="D151" i="4"/>
  <c r="D153" i="4"/>
  <c r="D154" i="4"/>
  <c r="D155" i="4"/>
  <c r="D156" i="4"/>
  <c r="D157" i="4"/>
  <c r="D158" i="4"/>
  <c r="D160" i="4"/>
  <c r="D162" i="4"/>
  <c r="D163" i="4"/>
  <c r="D164" i="4"/>
  <c r="D165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8" i="4"/>
  <c r="D199" i="4"/>
  <c r="D200" i="4"/>
  <c r="D201" i="4"/>
  <c r="D202" i="4"/>
  <c r="D203" i="4"/>
  <c r="D204" i="4"/>
  <c r="D205" i="4"/>
  <c r="D206" i="4"/>
  <c r="D207" i="4"/>
  <c r="D208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40" i="4"/>
  <c r="D242" i="4"/>
  <c r="D243" i="4"/>
  <c r="D244" i="4"/>
  <c r="D245" i="4"/>
  <c r="D246" i="4"/>
  <c r="D247" i="4"/>
  <c r="D248" i="4"/>
  <c r="D250" i="4"/>
  <c r="D251" i="4"/>
  <c r="D253" i="4"/>
  <c r="D254" i="4"/>
  <c r="D255" i="4"/>
  <c r="D259" i="4"/>
  <c r="D260" i="4"/>
  <c r="D261" i="4"/>
  <c r="D262" i="4"/>
  <c r="D263" i="4"/>
  <c r="D264" i="4"/>
  <c r="D266" i="4"/>
  <c r="D269" i="4"/>
  <c r="D273" i="4"/>
  <c r="D274" i="4"/>
  <c r="D275" i="4"/>
  <c r="D276" i="4"/>
  <c r="D277" i="4"/>
  <c r="D281" i="4"/>
  <c r="D282" i="4"/>
  <c r="D284" i="4"/>
  <c r="D286" i="4"/>
  <c r="D287" i="4"/>
  <c r="D288" i="4"/>
  <c r="D289" i="4"/>
  <c r="D290" i="4"/>
  <c r="D291" i="4"/>
  <c r="D292" i="4"/>
  <c r="D293" i="4"/>
  <c r="D294" i="4"/>
  <c r="D295" i="4"/>
  <c r="D296" i="4"/>
  <c r="D299" i="4"/>
  <c r="D303" i="4"/>
  <c r="D304" i="4"/>
  <c r="D305" i="4"/>
  <c r="D308" i="4"/>
  <c r="D314" i="4"/>
  <c r="D318" i="4"/>
  <c r="D319" i="4"/>
  <c r="D320" i="4"/>
  <c r="D321" i="4"/>
  <c r="D322" i="4"/>
  <c r="D323" i="4"/>
  <c r="D324" i="4"/>
  <c r="D326" i="4"/>
  <c r="D327" i="4"/>
  <c r="D328" i="4"/>
  <c r="D329" i="4"/>
  <c r="D330" i="4"/>
  <c r="D331" i="4"/>
  <c r="D332" i="4"/>
  <c r="D333" i="4"/>
  <c r="D335" i="4"/>
  <c r="D339" i="4"/>
  <c r="D340" i="4"/>
  <c r="D345" i="4"/>
  <c r="D347" i="4"/>
  <c r="D349" i="4"/>
  <c r="D353" i="4"/>
  <c r="D354" i="4"/>
  <c r="D355" i="4"/>
  <c r="D356" i="4"/>
  <c r="D357" i="4"/>
  <c r="D359" i="4"/>
  <c r="D360" i="4"/>
  <c r="D361" i="4"/>
  <c r="D364" i="4"/>
  <c r="D365" i="4"/>
  <c r="D366" i="4"/>
  <c r="D367" i="4"/>
  <c r="D368" i="4"/>
  <c r="D369" i="4"/>
  <c r="D372" i="4"/>
  <c r="D375" i="4"/>
  <c r="D376" i="4"/>
  <c r="D377" i="4"/>
  <c r="D378" i="4"/>
  <c r="D380" i="4"/>
  <c r="D381" i="4"/>
  <c r="D382" i="4"/>
  <c r="D383" i="4"/>
  <c r="D384" i="4"/>
  <c r="D385" i="4"/>
  <c r="D387" i="4"/>
  <c r="D388" i="4"/>
  <c r="D390" i="4"/>
  <c r="D391" i="4"/>
  <c r="D392" i="4"/>
  <c r="D395" i="4"/>
  <c r="D396" i="4"/>
  <c r="D397" i="4"/>
  <c r="D398" i="4"/>
  <c r="D400" i="4"/>
  <c r="D401" i="4"/>
  <c r="D403" i="4"/>
  <c r="D404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20" i="4"/>
  <c r="D421" i="4"/>
  <c r="D423" i="4"/>
  <c r="D424" i="4"/>
  <c r="D426" i="4"/>
  <c r="D427" i="4"/>
  <c r="D428" i="4"/>
  <c r="D429" i="4"/>
  <c r="D430" i="4"/>
  <c r="D434" i="4"/>
  <c r="D435" i="4"/>
  <c r="D438" i="4"/>
  <c r="D439" i="4"/>
  <c r="D440" i="4"/>
  <c r="D441" i="4"/>
  <c r="D442" i="4"/>
  <c r="D444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2" i="4"/>
  <c r="D465" i="4"/>
  <c r="D466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2" i="4"/>
  <c r="D504" i="4"/>
  <c r="D505" i="4"/>
  <c r="D506" i="4"/>
  <c r="D507" i="4"/>
  <c r="D508" i="4"/>
  <c r="D509" i="4"/>
  <c r="D510" i="4"/>
  <c r="D511" i="4"/>
  <c r="D512" i="4"/>
  <c r="D522" i="4"/>
  <c r="D523" i="4"/>
  <c r="D524" i="4"/>
  <c r="D525" i="4"/>
  <c r="D531" i="4"/>
  <c r="D532" i="4"/>
  <c r="D533" i="4"/>
  <c r="D535" i="4"/>
  <c r="D537" i="4"/>
  <c r="D538" i="4"/>
  <c r="D539" i="4"/>
  <c r="D540" i="4"/>
  <c r="D541" i="4"/>
  <c r="D542" i="4"/>
  <c r="D546" i="4"/>
  <c r="D547" i="4"/>
  <c r="D548" i="4"/>
  <c r="D549" i="4"/>
  <c r="D550" i="4"/>
  <c r="D551" i="4"/>
  <c r="D552" i="4"/>
  <c r="D553" i="4"/>
  <c r="D554" i="4"/>
  <c r="D557" i="4"/>
  <c r="D558" i="4"/>
  <c r="D560" i="4"/>
  <c r="D561" i="4"/>
  <c r="D562" i="4"/>
  <c r="D563" i="4"/>
  <c r="D564" i="4"/>
  <c r="D565" i="4"/>
  <c r="D566" i="4"/>
  <c r="D567" i="4"/>
  <c r="D568" i="4"/>
  <c r="D569" i="4"/>
  <c r="D576" i="4"/>
  <c r="D577" i="4"/>
  <c r="D578" i="4"/>
  <c r="D579" i="4"/>
  <c r="D580" i="4"/>
  <c r="D581" i="4"/>
  <c r="D582" i="4"/>
  <c r="D586" i="4"/>
  <c r="D587" i="4"/>
  <c r="D588" i="4"/>
  <c r="D589" i="4"/>
  <c r="D590" i="4"/>
  <c r="D591" i="4"/>
  <c r="D593" i="4"/>
  <c r="D594" i="4"/>
  <c r="D596" i="4"/>
  <c r="D597" i="4"/>
  <c r="D598" i="4"/>
  <c r="D599" i="4"/>
  <c r="D600" i="4"/>
  <c r="D601" i="4"/>
  <c r="D602" i="4"/>
  <c r="D603" i="4"/>
  <c r="D604" i="4"/>
  <c r="D605" i="4"/>
  <c r="D610" i="4"/>
  <c r="D611" i="4"/>
  <c r="D613" i="4"/>
  <c r="D614" i="4"/>
  <c r="D617" i="4"/>
  <c r="D619" i="4"/>
  <c r="D620" i="4"/>
  <c r="D621" i="4"/>
  <c r="D622" i="4"/>
  <c r="D623" i="4"/>
  <c r="D624" i="4"/>
  <c r="D626" i="4"/>
  <c r="D627" i="4"/>
  <c r="D628" i="4"/>
  <c r="D631" i="4"/>
  <c r="D632" i="4"/>
  <c r="D633" i="4"/>
  <c r="D634" i="4"/>
  <c r="D635" i="4"/>
  <c r="D639" i="4"/>
  <c r="D640" i="4"/>
  <c r="D641" i="4"/>
  <c r="D642" i="4"/>
  <c r="D644" i="4"/>
  <c r="D645" i="4"/>
  <c r="D646" i="4"/>
  <c r="D647" i="4"/>
  <c r="D648" i="4"/>
  <c r="D649" i="4"/>
  <c r="D650" i="4"/>
  <c r="D651" i="4"/>
  <c r="D653" i="4"/>
  <c r="D654" i="4"/>
  <c r="D655" i="4"/>
  <c r="D656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4" i="4"/>
  <c r="D685" i="4"/>
  <c r="D689" i="4"/>
  <c r="D694" i="4"/>
  <c r="D695" i="4"/>
  <c r="D696" i="4"/>
  <c r="D697" i="4"/>
  <c r="D698" i="4"/>
  <c r="D699" i="4"/>
  <c r="D700" i="4"/>
  <c r="D701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7" i="4"/>
  <c r="D718" i="4"/>
  <c r="D719" i="4"/>
  <c r="D720" i="4"/>
  <c r="D721" i="4"/>
  <c r="D723" i="4"/>
  <c r="D728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6" i="4"/>
  <c r="D747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8" i="4"/>
  <c r="D769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2" i="4"/>
  <c r="D793" i="4"/>
  <c r="D794" i="4"/>
  <c r="D795" i="4"/>
  <c r="D797" i="4"/>
  <c r="D798" i="4"/>
  <c r="D803" i="4"/>
  <c r="D804" i="4"/>
  <c r="D805" i="4"/>
  <c r="D809" i="4"/>
  <c r="D810" i="4"/>
  <c r="D811" i="4"/>
  <c r="D812" i="4"/>
  <c r="D813" i="4"/>
  <c r="D815" i="4"/>
  <c r="D816" i="4"/>
  <c r="D817" i="4"/>
  <c r="D818" i="4"/>
  <c r="D819" i="4"/>
  <c r="D820" i="4"/>
  <c r="D821" i="4"/>
  <c r="D822" i="4"/>
  <c r="D823" i="4"/>
  <c r="D824" i="4"/>
  <c r="D825" i="4"/>
  <c r="D831" i="4"/>
  <c r="D833" i="4"/>
  <c r="D835" i="4"/>
  <c r="D836" i="4"/>
  <c r="D837" i="4"/>
  <c r="D838" i="4"/>
  <c r="D839" i="4"/>
  <c r="D840" i="4"/>
  <c r="D841" i="4"/>
  <c r="D842" i="4"/>
  <c r="D843" i="4"/>
  <c r="D847" i="4"/>
  <c r="D848" i="4"/>
  <c r="D849" i="4"/>
  <c r="D850" i="4"/>
  <c r="D851" i="4"/>
  <c r="D854" i="4"/>
  <c r="D855" i="4"/>
  <c r="D856" i="4"/>
  <c r="D857" i="4"/>
  <c r="D858" i="4"/>
  <c r="D859" i="4"/>
  <c r="D860" i="4"/>
  <c r="D861" i="4"/>
  <c r="D863" i="4"/>
  <c r="D864" i="4"/>
  <c r="D867" i="4"/>
  <c r="D872" i="4"/>
  <c r="D873" i="4"/>
  <c r="D874" i="4"/>
  <c r="D876" i="4"/>
  <c r="D877" i="4"/>
  <c r="D878" i="4"/>
  <c r="D879" i="4"/>
  <c r="D886" i="4"/>
  <c r="D887" i="4"/>
  <c r="D888" i="4"/>
  <c r="D889" i="4"/>
  <c r="D890" i="4"/>
  <c r="D891" i="4"/>
  <c r="D892" i="4"/>
  <c r="D893" i="4"/>
  <c r="D894" i="4"/>
  <c r="D895" i="4"/>
  <c r="D897" i="4"/>
  <c r="D898" i="4"/>
  <c r="D899" i="4"/>
  <c r="D900" i="4"/>
  <c r="D901" i="4"/>
  <c r="D902" i="4"/>
  <c r="D903" i="4"/>
  <c r="D904" i="4"/>
  <c r="D905" i="4"/>
  <c r="D906" i="4"/>
  <c r="D907" i="4"/>
  <c r="D910" i="4"/>
  <c r="D911" i="4"/>
  <c r="D912" i="4"/>
  <c r="D913" i="4"/>
  <c r="D914" i="4"/>
  <c r="D915" i="4"/>
  <c r="D916" i="4"/>
  <c r="D918" i="4"/>
  <c r="D919" i="4"/>
  <c r="D920" i="4"/>
  <c r="D922" i="4"/>
  <c r="D923" i="4"/>
  <c r="D924" i="4"/>
  <c r="D925" i="4"/>
  <c r="D926" i="4"/>
  <c r="D927" i="4"/>
  <c r="D928" i="4"/>
  <c r="D929" i="4"/>
  <c r="D930" i="4"/>
  <c r="D931" i="4"/>
  <c r="D934" i="4"/>
  <c r="D935" i="4"/>
  <c r="D936" i="4"/>
  <c r="D937" i="4"/>
  <c r="D938" i="4"/>
  <c r="D939" i="4"/>
  <c r="D942" i="4"/>
  <c r="D943" i="4"/>
  <c r="D944" i="4"/>
  <c r="D945" i="4"/>
  <c r="D946" i="4"/>
  <c r="D947" i="4"/>
  <c r="D948" i="4"/>
  <c r="D950" i="4"/>
  <c r="D951" i="4"/>
  <c r="D953" i="4"/>
  <c r="D955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7" i="4"/>
  <c r="D979" i="4"/>
  <c r="D980" i="4"/>
  <c r="D981" i="4"/>
  <c r="D982" i="4"/>
  <c r="D984" i="4"/>
  <c r="D985" i="4"/>
  <c r="D986" i="4"/>
  <c r="D987" i="4"/>
  <c r="D990" i="4"/>
  <c r="D991" i="4"/>
  <c r="D992" i="4"/>
  <c r="D995" i="4"/>
  <c r="D996" i="4"/>
  <c r="D997" i="4"/>
  <c r="D1002" i="4"/>
  <c r="D1003" i="4"/>
  <c r="D1006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5" i="4"/>
  <c r="D1027" i="4"/>
  <c r="D1029" i="4"/>
  <c r="D1030" i="4"/>
  <c r="D1031" i="4"/>
  <c r="D1032" i="4"/>
  <c r="D1033" i="4"/>
  <c r="D1034" i="4"/>
  <c r="D1035" i="4"/>
  <c r="D1037" i="4"/>
  <c r="D1038" i="4"/>
  <c r="D1039" i="4"/>
  <c r="D1040" i="4"/>
  <c r="D1045" i="4"/>
  <c r="D1046" i="4"/>
  <c r="D1047" i="4"/>
  <c r="D1048" i="4"/>
  <c r="D1049" i="4"/>
  <c r="D1050" i="4"/>
  <c r="D1051" i="4"/>
  <c r="D1054" i="4"/>
  <c r="D1" i="4"/>
  <c r="C525" i="4"/>
  <c r="C531" i="4"/>
  <c r="C532" i="4"/>
  <c r="C533" i="4"/>
  <c r="C535" i="4"/>
  <c r="C537" i="4"/>
  <c r="C538" i="4"/>
  <c r="C539" i="4"/>
  <c r="C540" i="4"/>
  <c r="C541" i="4"/>
  <c r="C542" i="4"/>
  <c r="C546" i="4"/>
  <c r="C547" i="4"/>
  <c r="C548" i="4"/>
  <c r="C549" i="4"/>
  <c r="C550" i="4"/>
  <c r="C551" i="4"/>
  <c r="C552" i="4"/>
  <c r="C553" i="4"/>
  <c r="C554" i="4"/>
  <c r="C557" i="4"/>
  <c r="C558" i="4"/>
  <c r="C560" i="4"/>
  <c r="C561" i="4"/>
  <c r="C562" i="4"/>
  <c r="C563" i="4"/>
  <c r="C564" i="4"/>
  <c r="C565" i="4"/>
  <c r="C566" i="4"/>
  <c r="C567" i="4"/>
  <c r="C568" i="4"/>
  <c r="C569" i="4"/>
  <c r="C576" i="4"/>
  <c r="C577" i="4"/>
  <c r="C578" i="4"/>
  <c r="C579" i="4"/>
  <c r="C580" i="4"/>
  <c r="C581" i="4"/>
  <c r="C582" i="4"/>
  <c r="C586" i="4"/>
  <c r="C587" i="4"/>
  <c r="C588" i="4"/>
  <c r="C589" i="4"/>
  <c r="C590" i="4"/>
  <c r="C591" i="4"/>
  <c r="C593" i="4"/>
  <c r="C594" i="4"/>
  <c r="C596" i="4"/>
  <c r="C597" i="4"/>
  <c r="C598" i="4"/>
  <c r="C599" i="4"/>
  <c r="C600" i="4"/>
  <c r="C601" i="4"/>
  <c r="C602" i="4"/>
  <c r="C603" i="4"/>
  <c r="C604" i="4"/>
  <c r="C605" i="4"/>
  <c r="C610" i="4"/>
  <c r="C611" i="4"/>
  <c r="C613" i="4"/>
  <c r="C614" i="4"/>
  <c r="C617" i="4"/>
  <c r="C619" i="4"/>
  <c r="C620" i="4"/>
  <c r="C621" i="4"/>
  <c r="C622" i="4"/>
  <c r="C623" i="4"/>
  <c r="C624" i="4"/>
  <c r="C626" i="4"/>
  <c r="C627" i="4"/>
  <c r="C628" i="4"/>
  <c r="C631" i="4"/>
  <c r="C632" i="4"/>
  <c r="C633" i="4"/>
  <c r="C634" i="4"/>
  <c r="C635" i="4"/>
  <c r="C639" i="4"/>
  <c r="C640" i="4"/>
  <c r="C641" i="4"/>
  <c r="C642" i="4"/>
  <c r="C644" i="4"/>
  <c r="C645" i="4"/>
  <c r="C646" i="4"/>
  <c r="C647" i="4"/>
  <c r="C648" i="4"/>
  <c r="C649" i="4"/>
  <c r="C650" i="4"/>
  <c r="C651" i="4"/>
  <c r="C653" i="4"/>
  <c r="C654" i="4"/>
  <c r="C655" i="4"/>
  <c r="C656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4" i="4"/>
  <c r="C685" i="4"/>
  <c r="C689" i="4"/>
  <c r="C694" i="4"/>
  <c r="C695" i="4"/>
  <c r="C696" i="4"/>
  <c r="C697" i="4"/>
  <c r="C698" i="4"/>
  <c r="C699" i="4"/>
  <c r="C700" i="4"/>
  <c r="C701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7" i="4"/>
  <c r="C718" i="4"/>
  <c r="C719" i="4"/>
  <c r="C720" i="4"/>
  <c r="C721" i="4"/>
  <c r="C723" i="4"/>
  <c r="C728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6" i="4"/>
  <c r="C747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8" i="4"/>
  <c r="C769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2" i="4"/>
  <c r="C793" i="4"/>
  <c r="C794" i="4"/>
  <c r="C795" i="4"/>
  <c r="C797" i="4"/>
  <c r="C798" i="4"/>
  <c r="C803" i="4"/>
  <c r="C804" i="4"/>
  <c r="C805" i="4"/>
  <c r="C809" i="4"/>
  <c r="C810" i="4"/>
  <c r="C811" i="4"/>
  <c r="C812" i="4"/>
  <c r="C813" i="4"/>
  <c r="C815" i="4"/>
  <c r="C816" i="4"/>
  <c r="C817" i="4"/>
  <c r="C818" i="4"/>
  <c r="C819" i="4"/>
  <c r="C820" i="4"/>
  <c r="C821" i="4"/>
  <c r="C822" i="4"/>
  <c r="C823" i="4"/>
  <c r="C824" i="4"/>
  <c r="C825" i="4"/>
  <c r="C831" i="4"/>
  <c r="C833" i="4"/>
  <c r="C835" i="4"/>
  <c r="C836" i="4"/>
  <c r="C837" i="4"/>
  <c r="C838" i="4"/>
  <c r="C839" i="4"/>
  <c r="C840" i="4"/>
  <c r="C841" i="4"/>
  <c r="C842" i="4"/>
  <c r="C843" i="4"/>
  <c r="C847" i="4"/>
  <c r="C848" i="4"/>
  <c r="C849" i="4"/>
  <c r="C850" i="4"/>
  <c r="C851" i="4"/>
  <c r="C854" i="4"/>
  <c r="C855" i="4"/>
  <c r="C856" i="4"/>
  <c r="C857" i="4"/>
  <c r="C858" i="4"/>
  <c r="C859" i="4"/>
  <c r="C860" i="4"/>
  <c r="C861" i="4"/>
  <c r="C863" i="4"/>
  <c r="C864" i="4"/>
  <c r="C867" i="4"/>
  <c r="C872" i="4"/>
  <c r="C873" i="4"/>
  <c r="C874" i="4"/>
  <c r="C876" i="4"/>
  <c r="C877" i="4"/>
  <c r="C878" i="4"/>
  <c r="C879" i="4"/>
  <c r="C886" i="4"/>
  <c r="C887" i="4"/>
  <c r="C888" i="4"/>
  <c r="C889" i="4"/>
  <c r="C890" i="4"/>
  <c r="C891" i="4"/>
  <c r="C892" i="4"/>
  <c r="C893" i="4"/>
  <c r="C894" i="4"/>
  <c r="C895" i="4"/>
  <c r="C897" i="4"/>
  <c r="C898" i="4"/>
  <c r="C899" i="4"/>
  <c r="C900" i="4"/>
  <c r="C901" i="4"/>
  <c r="C902" i="4"/>
  <c r="C903" i="4"/>
  <c r="C904" i="4"/>
  <c r="C905" i="4"/>
  <c r="C906" i="4"/>
  <c r="C907" i="4"/>
  <c r="C910" i="4"/>
  <c r="C911" i="4"/>
  <c r="C912" i="4"/>
  <c r="C913" i="4"/>
  <c r="C914" i="4"/>
  <c r="C915" i="4"/>
  <c r="C916" i="4"/>
  <c r="C918" i="4"/>
  <c r="C919" i="4"/>
  <c r="C920" i="4"/>
  <c r="C922" i="4"/>
  <c r="C923" i="4"/>
  <c r="C924" i="4"/>
  <c r="C925" i="4"/>
  <c r="C926" i="4"/>
  <c r="C927" i="4"/>
  <c r="C928" i="4"/>
  <c r="C929" i="4"/>
  <c r="C930" i="4"/>
  <c r="C931" i="4"/>
  <c r="C934" i="4"/>
  <c r="C935" i="4"/>
  <c r="C936" i="4"/>
  <c r="C937" i="4"/>
  <c r="C938" i="4"/>
  <c r="C939" i="4"/>
  <c r="C942" i="4"/>
  <c r="C943" i="4"/>
  <c r="C944" i="4"/>
  <c r="C945" i="4"/>
  <c r="C946" i="4"/>
  <c r="C947" i="4"/>
  <c r="C948" i="4"/>
  <c r="C950" i="4"/>
  <c r="C951" i="4"/>
  <c r="C953" i="4"/>
  <c r="C955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7" i="4"/>
  <c r="C979" i="4"/>
  <c r="C980" i="4"/>
  <c r="C981" i="4"/>
  <c r="C982" i="4"/>
  <c r="C984" i="4"/>
  <c r="C985" i="4"/>
  <c r="C986" i="4"/>
  <c r="C987" i="4"/>
  <c r="C990" i="4"/>
  <c r="C991" i="4"/>
  <c r="C992" i="4"/>
  <c r="C995" i="4"/>
  <c r="C996" i="4"/>
  <c r="C997" i="4"/>
  <c r="C1002" i="4"/>
  <c r="C1003" i="4"/>
  <c r="C1006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5" i="4"/>
  <c r="C1027" i="4"/>
  <c r="C1029" i="4"/>
  <c r="C1030" i="4"/>
  <c r="C1031" i="4"/>
  <c r="C1032" i="4"/>
  <c r="C1033" i="4"/>
  <c r="C1034" i="4"/>
  <c r="C1035" i="4"/>
  <c r="C1037" i="4"/>
  <c r="C1038" i="4"/>
  <c r="C1039" i="4"/>
  <c r="C1040" i="4"/>
  <c r="C1045" i="4"/>
  <c r="C1046" i="4"/>
  <c r="C1047" i="4"/>
  <c r="C1048" i="4"/>
  <c r="C1049" i="4"/>
  <c r="C1050" i="4"/>
  <c r="C1051" i="4"/>
  <c r="C1054" i="4"/>
  <c r="C477" i="4"/>
  <c r="C478" i="4"/>
  <c r="C479" i="4"/>
  <c r="C480" i="4"/>
  <c r="C481" i="4"/>
  <c r="C482" i="4"/>
  <c r="C483" i="4"/>
  <c r="C484" i="4"/>
  <c r="C485" i="4"/>
  <c r="C486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2" i="4"/>
  <c r="C504" i="4"/>
  <c r="C505" i="4"/>
  <c r="C506" i="4"/>
  <c r="C507" i="4"/>
  <c r="C508" i="4"/>
  <c r="C509" i="4"/>
  <c r="C510" i="4"/>
  <c r="C511" i="4"/>
  <c r="C512" i="4"/>
  <c r="C522" i="4"/>
  <c r="C523" i="4"/>
  <c r="C52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7" i="4"/>
  <c r="C28" i="4"/>
  <c r="C29" i="4"/>
  <c r="C30" i="4"/>
  <c r="C31" i="4"/>
  <c r="C32" i="4"/>
  <c r="C33" i="4"/>
  <c r="C34" i="4"/>
  <c r="C35" i="4"/>
  <c r="C36" i="4"/>
  <c r="C37" i="4"/>
  <c r="C41" i="4"/>
  <c r="C42" i="4"/>
  <c r="C43" i="4"/>
  <c r="C44" i="4"/>
  <c r="C45" i="4"/>
  <c r="C46" i="4"/>
  <c r="C50" i="4"/>
  <c r="C55" i="4"/>
  <c r="C57" i="4"/>
  <c r="C60" i="4"/>
  <c r="C61" i="4"/>
  <c r="C62" i="4"/>
  <c r="C63" i="4"/>
  <c r="C64" i="4"/>
  <c r="C65" i="4"/>
  <c r="C70" i="4"/>
  <c r="C71" i="4"/>
  <c r="C74" i="4"/>
  <c r="C75" i="4"/>
  <c r="C76" i="4"/>
  <c r="C77" i="4"/>
  <c r="C78" i="4"/>
  <c r="C79" i="4"/>
  <c r="C80" i="4"/>
  <c r="C83" i="4"/>
  <c r="C84" i="4"/>
  <c r="C85" i="4"/>
  <c r="C86" i="4"/>
  <c r="C87" i="4"/>
  <c r="C88" i="4"/>
  <c r="C89" i="4"/>
  <c r="C90" i="4"/>
  <c r="C95" i="4"/>
  <c r="C104" i="4"/>
  <c r="C105" i="4"/>
  <c r="C106" i="4"/>
  <c r="C111" i="4"/>
  <c r="C112" i="4"/>
  <c r="C113" i="4"/>
  <c r="C114" i="4"/>
  <c r="C115" i="4"/>
  <c r="C118" i="4"/>
  <c r="C119" i="4"/>
  <c r="C120" i="4"/>
  <c r="C123" i="4"/>
  <c r="C124" i="4"/>
  <c r="C126" i="4"/>
  <c r="C127" i="4"/>
  <c r="C128" i="4"/>
  <c r="C129" i="4"/>
  <c r="C131" i="4"/>
  <c r="C134" i="4"/>
  <c r="C135" i="4"/>
  <c r="C136" i="4"/>
  <c r="C137" i="4"/>
  <c r="C138" i="4"/>
  <c r="C139" i="4"/>
  <c r="C140" i="4"/>
  <c r="C150" i="4"/>
  <c r="C151" i="4"/>
  <c r="C153" i="4"/>
  <c r="C154" i="4"/>
  <c r="C155" i="4"/>
  <c r="C156" i="4"/>
  <c r="C157" i="4"/>
  <c r="C158" i="4"/>
  <c r="C160" i="4"/>
  <c r="C162" i="4"/>
  <c r="C163" i="4"/>
  <c r="C164" i="4"/>
  <c r="C165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8" i="4"/>
  <c r="C199" i="4"/>
  <c r="C200" i="4"/>
  <c r="C201" i="4"/>
  <c r="C202" i="4"/>
  <c r="C203" i="4"/>
  <c r="C204" i="4"/>
  <c r="C205" i="4"/>
  <c r="C206" i="4"/>
  <c r="C207" i="4"/>
  <c r="C208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40" i="4"/>
  <c r="C242" i="4"/>
  <c r="C243" i="4"/>
  <c r="C244" i="4"/>
  <c r="C245" i="4"/>
  <c r="C246" i="4"/>
  <c r="C247" i="4"/>
  <c r="C248" i="4"/>
  <c r="C250" i="4"/>
  <c r="C251" i="4"/>
  <c r="C253" i="4"/>
  <c r="C254" i="4"/>
  <c r="C255" i="4"/>
  <c r="C259" i="4"/>
  <c r="C260" i="4"/>
  <c r="C261" i="4"/>
  <c r="C262" i="4"/>
  <c r="C263" i="4"/>
  <c r="C264" i="4"/>
  <c r="C266" i="4"/>
  <c r="C269" i="4"/>
  <c r="C273" i="4"/>
  <c r="C274" i="4"/>
  <c r="C275" i="4"/>
  <c r="C276" i="4"/>
  <c r="C277" i="4"/>
  <c r="C281" i="4"/>
  <c r="C282" i="4"/>
  <c r="C284" i="4"/>
  <c r="C286" i="4"/>
  <c r="C287" i="4"/>
  <c r="C288" i="4"/>
  <c r="C289" i="4"/>
  <c r="C290" i="4"/>
  <c r="C291" i="4"/>
  <c r="C292" i="4"/>
  <c r="C293" i="4"/>
  <c r="C294" i="4"/>
  <c r="C295" i="4"/>
  <c r="C296" i="4"/>
  <c r="C299" i="4"/>
  <c r="C303" i="4"/>
  <c r="C304" i="4"/>
  <c r="C305" i="4"/>
  <c r="C308" i="4"/>
  <c r="C314" i="4"/>
  <c r="C318" i="4"/>
  <c r="C319" i="4"/>
  <c r="C320" i="4"/>
  <c r="C321" i="4"/>
  <c r="C322" i="4"/>
  <c r="C323" i="4"/>
  <c r="C324" i="4"/>
  <c r="C326" i="4"/>
  <c r="C327" i="4"/>
  <c r="C328" i="4"/>
  <c r="C329" i="4"/>
  <c r="C330" i="4"/>
  <c r="C331" i="4"/>
  <c r="C332" i="4"/>
  <c r="C333" i="4"/>
  <c r="C335" i="4"/>
  <c r="C339" i="4"/>
  <c r="C340" i="4"/>
  <c r="C345" i="4"/>
  <c r="C347" i="4"/>
  <c r="C349" i="4"/>
  <c r="C353" i="4"/>
  <c r="C354" i="4"/>
  <c r="C355" i="4"/>
  <c r="C356" i="4"/>
  <c r="C357" i="4"/>
  <c r="C359" i="4"/>
  <c r="C360" i="4"/>
  <c r="C361" i="4"/>
  <c r="C364" i="4"/>
  <c r="C365" i="4"/>
  <c r="C366" i="4"/>
  <c r="C367" i="4"/>
  <c r="C368" i="4"/>
  <c r="C369" i="4"/>
  <c r="C372" i="4"/>
  <c r="C375" i="4"/>
  <c r="C376" i="4"/>
  <c r="C377" i="4"/>
  <c r="C378" i="4"/>
  <c r="C380" i="4"/>
  <c r="C381" i="4"/>
  <c r="C382" i="4"/>
  <c r="C383" i="4"/>
  <c r="C384" i="4"/>
  <c r="C385" i="4"/>
  <c r="C387" i="4"/>
  <c r="C388" i="4"/>
  <c r="C390" i="4"/>
  <c r="C391" i="4"/>
  <c r="C392" i="4"/>
  <c r="C395" i="4"/>
  <c r="C396" i="4"/>
  <c r="C397" i="4"/>
  <c r="C398" i="4"/>
  <c r="C400" i="4"/>
  <c r="C401" i="4"/>
  <c r="C403" i="4"/>
  <c r="C404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20" i="4"/>
  <c r="C421" i="4"/>
  <c r="C423" i="4"/>
  <c r="C424" i="4"/>
  <c r="C426" i="4"/>
  <c r="C427" i="4"/>
  <c r="C428" i="4"/>
  <c r="C429" i="4"/>
  <c r="C430" i="4"/>
  <c r="C434" i="4"/>
  <c r="C435" i="4"/>
  <c r="C438" i="4"/>
  <c r="C439" i="4"/>
  <c r="C440" i="4"/>
  <c r="C441" i="4"/>
  <c r="C442" i="4"/>
  <c r="C444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2" i="4"/>
  <c r="C465" i="4"/>
  <c r="C466" i="4"/>
  <c r="C470" i="4"/>
  <c r="C471" i="4"/>
  <c r="C472" i="4"/>
  <c r="C473" i="4"/>
  <c r="C474" i="4"/>
  <c r="C475" i="4"/>
  <c r="C476" i="4"/>
  <c r="C2" i="4"/>
  <c r="C3" i="4"/>
  <c r="C4" i="4"/>
  <c r="C1" i="4"/>
</calcChain>
</file>

<file path=xl/sharedStrings.xml><?xml version="1.0" encoding="utf-8"?>
<sst xmlns="http://schemas.openxmlformats.org/spreadsheetml/2006/main" count="1355" uniqueCount="1338">
  <si>
    <t>あ   a</t>
    <phoneticPr fontId="5" type="noConversion"/>
  </si>
  <si>
    <t>か   ka</t>
    <phoneticPr fontId="5" type="noConversion"/>
  </si>
  <si>
    <t xml:space="preserve">さ   sa </t>
    <phoneticPr fontId="5" type="noConversion"/>
  </si>
  <si>
    <t xml:space="preserve">た  ta </t>
    <phoneticPr fontId="5" type="noConversion"/>
  </si>
  <si>
    <t xml:space="preserve">な  na </t>
    <phoneticPr fontId="5" type="noConversion"/>
  </si>
  <si>
    <t>は  ha</t>
    <phoneticPr fontId="5" type="noConversion"/>
  </si>
  <si>
    <t>ま  ma</t>
    <phoneticPr fontId="5" type="noConversion"/>
  </si>
  <si>
    <t>や  ya</t>
    <phoneticPr fontId="5" type="noConversion"/>
  </si>
  <si>
    <t>ら  ra</t>
    <phoneticPr fontId="5" type="noConversion"/>
  </si>
  <si>
    <t>わ  wa</t>
    <phoneticPr fontId="5" type="noConversion"/>
  </si>
  <si>
    <t>い   i</t>
    <phoneticPr fontId="5" type="noConversion"/>
  </si>
  <si>
    <t>き   ki</t>
    <phoneticPr fontId="5" type="noConversion"/>
  </si>
  <si>
    <t>し ｛si｝shi</t>
    <phoneticPr fontId="5" type="noConversion"/>
  </si>
  <si>
    <t>ち ｛ti｝chi</t>
    <phoneticPr fontId="5" type="noConversion"/>
  </si>
  <si>
    <t>に  ni</t>
    <phoneticPr fontId="5" type="noConversion"/>
  </si>
  <si>
    <t>ひ  hi</t>
    <phoneticPr fontId="5" type="noConversion"/>
  </si>
  <si>
    <t>み  mi</t>
    <phoneticPr fontId="5" type="noConversion"/>
  </si>
  <si>
    <t>り  ri</t>
    <phoneticPr fontId="5" type="noConversion"/>
  </si>
  <si>
    <t>ゐ  wi</t>
    <phoneticPr fontId="5" type="noConversion"/>
  </si>
  <si>
    <t>う   u</t>
    <phoneticPr fontId="5" type="noConversion"/>
  </si>
  <si>
    <t>く    ku</t>
    <phoneticPr fontId="5" type="noConversion"/>
  </si>
  <si>
    <t>す  su</t>
    <phoneticPr fontId="5" type="noConversion"/>
  </si>
  <si>
    <t>つ｛tu｝tsu</t>
    <phoneticPr fontId="5" type="noConversion"/>
  </si>
  <si>
    <t>ぬ  nu</t>
    <phoneticPr fontId="5" type="noConversion"/>
  </si>
  <si>
    <t>ふ  fu</t>
    <phoneticPr fontId="5" type="noConversion"/>
  </si>
  <si>
    <t>む  mu</t>
    <phoneticPr fontId="5" type="noConversion"/>
  </si>
  <si>
    <t>ゆ  yu</t>
    <phoneticPr fontId="5" type="noConversion"/>
  </si>
  <si>
    <t>る  ru</t>
    <phoneticPr fontId="5" type="noConversion"/>
  </si>
  <si>
    <t>え   e</t>
    <phoneticPr fontId="5" type="noConversion"/>
  </si>
  <si>
    <t>け   ke</t>
    <phoneticPr fontId="5" type="noConversion"/>
  </si>
  <si>
    <t xml:space="preserve">せ  se </t>
    <phoneticPr fontId="5" type="noConversion"/>
  </si>
  <si>
    <t>て  te</t>
    <phoneticPr fontId="5" type="noConversion"/>
  </si>
  <si>
    <t>ね  ne</t>
    <phoneticPr fontId="5" type="noConversion"/>
  </si>
  <si>
    <t>へ  he</t>
    <phoneticPr fontId="5" type="noConversion"/>
  </si>
  <si>
    <t>め  me</t>
    <phoneticPr fontId="5" type="noConversion"/>
  </si>
  <si>
    <t>れ  re</t>
    <phoneticPr fontId="5" type="noConversion"/>
  </si>
  <si>
    <t>ゑ  we</t>
    <phoneticPr fontId="5" type="noConversion"/>
  </si>
  <si>
    <t>お   o</t>
    <phoneticPr fontId="5" type="noConversion"/>
  </si>
  <si>
    <t>こ   ko</t>
    <phoneticPr fontId="5" type="noConversion"/>
  </si>
  <si>
    <t>そ  so</t>
    <phoneticPr fontId="5" type="noConversion"/>
  </si>
  <si>
    <t>と  to</t>
    <phoneticPr fontId="5" type="noConversion"/>
  </si>
  <si>
    <t>の  no</t>
    <phoneticPr fontId="5" type="noConversion"/>
  </si>
  <si>
    <t>ほ  ho</t>
    <phoneticPr fontId="5" type="noConversion"/>
  </si>
  <si>
    <t>も  mo</t>
    <phoneticPr fontId="5" type="noConversion"/>
  </si>
  <si>
    <t>よ  yo</t>
    <phoneticPr fontId="5" type="noConversion"/>
  </si>
  <si>
    <t>ろ  ro</t>
    <phoneticPr fontId="5" type="noConversion"/>
  </si>
  <si>
    <t>を  wo</t>
    <phoneticPr fontId="5" type="noConversion"/>
  </si>
  <si>
    <t>ア   a</t>
    <phoneticPr fontId="5" type="noConversion"/>
  </si>
  <si>
    <t>カ   ka</t>
    <phoneticPr fontId="5" type="noConversion"/>
  </si>
  <si>
    <t xml:space="preserve">サ   sa </t>
    <phoneticPr fontId="5" type="noConversion"/>
  </si>
  <si>
    <t xml:space="preserve">タ  ta </t>
    <phoneticPr fontId="5" type="noConversion"/>
  </si>
  <si>
    <t xml:space="preserve">ナ  na </t>
    <phoneticPr fontId="5" type="noConversion"/>
  </si>
  <si>
    <t>ハ  ha</t>
    <phoneticPr fontId="5" type="noConversion"/>
  </si>
  <si>
    <t>マ  ma</t>
    <phoneticPr fontId="5" type="noConversion"/>
  </si>
  <si>
    <t>ヤ  ya</t>
    <phoneticPr fontId="5" type="noConversion"/>
  </si>
  <si>
    <t>ラ  ra</t>
    <phoneticPr fontId="5" type="noConversion"/>
  </si>
  <si>
    <t>ワ  wa</t>
    <phoneticPr fontId="5" type="noConversion"/>
  </si>
  <si>
    <t>イ   i</t>
    <phoneticPr fontId="5" type="noConversion"/>
  </si>
  <si>
    <t>キ   ki</t>
    <phoneticPr fontId="5" type="noConversion"/>
  </si>
  <si>
    <t>シ ｛si｝shi</t>
    <phoneticPr fontId="5" type="noConversion"/>
  </si>
  <si>
    <t>チ ｛ti｝chi</t>
    <phoneticPr fontId="5" type="noConversion"/>
  </si>
  <si>
    <t>ニ  ni</t>
    <phoneticPr fontId="5" type="noConversion"/>
  </si>
  <si>
    <t>ヒ  hi</t>
    <phoneticPr fontId="5" type="noConversion"/>
  </si>
  <si>
    <t>ミ  mi</t>
    <phoneticPr fontId="5" type="noConversion"/>
  </si>
  <si>
    <t>リ  ri</t>
    <phoneticPr fontId="5" type="noConversion"/>
  </si>
  <si>
    <t>ヰ  wi</t>
    <phoneticPr fontId="5" type="noConversion"/>
  </si>
  <si>
    <t>ウ   u</t>
    <phoneticPr fontId="5" type="noConversion"/>
  </si>
  <si>
    <t>ク   ku</t>
    <phoneticPr fontId="5" type="noConversion"/>
  </si>
  <si>
    <t>ス  su</t>
    <phoneticPr fontId="5" type="noConversion"/>
  </si>
  <si>
    <t>ツ｛tu｝tsu</t>
    <phoneticPr fontId="5" type="noConversion"/>
  </si>
  <si>
    <t>ヌ  nu</t>
    <phoneticPr fontId="5" type="noConversion"/>
  </si>
  <si>
    <t>フ  fu</t>
    <phoneticPr fontId="5" type="noConversion"/>
  </si>
  <si>
    <t>ム  mu</t>
    <phoneticPr fontId="5" type="noConversion"/>
  </si>
  <si>
    <t>ユ  yu</t>
    <phoneticPr fontId="5" type="noConversion"/>
  </si>
  <si>
    <t>ル  ru</t>
    <phoneticPr fontId="5" type="noConversion"/>
  </si>
  <si>
    <t>エ   e</t>
    <phoneticPr fontId="5" type="noConversion"/>
  </si>
  <si>
    <t>ケ   ke</t>
    <phoneticPr fontId="5" type="noConversion"/>
  </si>
  <si>
    <t xml:space="preserve">セ  se </t>
    <phoneticPr fontId="5" type="noConversion"/>
  </si>
  <si>
    <t>テ  te</t>
    <phoneticPr fontId="5" type="noConversion"/>
  </si>
  <si>
    <t>ネ  ne</t>
    <phoneticPr fontId="5" type="noConversion"/>
  </si>
  <si>
    <t>ヘ  he</t>
    <phoneticPr fontId="5" type="noConversion"/>
  </si>
  <si>
    <t>メ  me</t>
    <phoneticPr fontId="5" type="noConversion"/>
  </si>
  <si>
    <t>レ  re</t>
    <phoneticPr fontId="5" type="noConversion"/>
  </si>
  <si>
    <t>ヱ  we</t>
    <phoneticPr fontId="5" type="noConversion"/>
  </si>
  <si>
    <t>オ   o</t>
    <phoneticPr fontId="5" type="noConversion"/>
  </si>
  <si>
    <t>コ   ko</t>
    <phoneticPr fontId="5" type="noConversion"/>
  </si>
  <si>
    <t>ソ  so</t>
    <phoneticPr fontId="5" type="noConversion"/>
  </si>
  <si>
    <t>ト  to</t>
    <phoneticPr fontId="5" type="noConversion"/>
  </si>
  <si>
    <t>ノ  no</t>
    <phoneticPr fontId="5" type="noConversion"/>
  </si>
  <si>
    <t>ホ  ho</t>
    <phoneticPr fontId="5" type="noConversion"/>
  </si>
  <si>
    <t>モ  mo</t>
    <phoneticPr fontId="5" type="noConversion"/>
  </si>
  <si>
    <t>ヨ  yo</t>
    <phoneticPr fontId="5" type="noConversion"/>
  </si>
  <si>
    <t>ロ  ro</t>
    <phoneticPr fontId="5" type="noConversion"/>
  </si>
  <si>
    <t>ヲ  wo</t>
    <phoneticPr fontId="5" type="noConversion"/>
  </si>
  <si>
    <t>す</t>
  </si>
  <si>
    <t>せ</t>
  </si>
  <si>
    <t>た</t>
  </si>
  <si>
    <t>ち</t>
  </si>
  <si>
    <t>ね</t>
  </si>
  <si>
    <t>ひ</t>
  </si>
  <si>
    <t>ゆ</t>
  </si>
  <si>
    <t>ら</t>
  </si>
  <si>
    <t>る</t>
  </si>
  <si>
    <t>ス</t>
  </si>
  <si>
    <t>su</t>
  </si>
  <si>
    <t>セ</t>
  </si>
  <si>
    <t>se</t>
  </si>
  <si>
    <t>タ</t>
  </si>
  <si>
    <t>ta</t>
  </si>
  <si>
    <t>チ</t>
  </si>
  <si>
    <t>｛ti｝chi</t>
  </si>
  <si>
    <t>ネ</t>
  </si>
  <si>
    <t>ne</t>
  </si>
  <si>
    <t>ヒ</t>
  </si>
  <si>
    <t>hi</t>
  </si>
  <si>
    <t>ユ</t>
  </si>
  <si>
    <t>yu</t>
  </si>
  <si>
    <t>ラ</t>
  </si>
  <si>
    <t>ra</t>
  </si>
  <si>
    <t>ル</t>
  </si>
  <si>
    <t>ru</t>
  </si>
  <si>
    <r>
      <t>出</t>
    </r>
    <r>
      <rPr>
        <b/>
        <sz val="11"/>
        <color theme="0"/>
        <rFont val="宋体"/>
        <family val="3"/>
        <charset val="134"/>
        <scheme val="minor"/>
      </rPr>
      <t>题</t>
    </r>
    <phoneticPr fontId="2"/>
  </si>
  <si>
    <r>
      <rPr>
        <b/>
        <sz val="11"/>
        <color theme="0"/>
        <rFont val="宋体"/>
        <family val="3"/>
        <charset val="134"/>
        <scheme val="minor"/>
      </rPr>
      <t>结</t>
    </r>
    <r>
      <rPr>
        <b/>
        <sz val="11"/>
        <color theme="0"/>
        <rFont val="宋体"/>
        <family val="2"/>
        <scheme val="minor"/>
      </rPr>
      <t>果</t>
    </r>
    <phoneticPr fontId="2"/>
  </si>
  <si>
    <t>が  ga</t>
    <phoneticPr fontId="5" type="noConversion"/>
  </si>
  <si>
    <t>ざ  za</t>
    <phoneticPr fontId="5" type="noConversion"/>
  </si>
  <si>
    <t>だ  da</t>
    <phoneticPr fontId="5" type="noConversion"/>
  </si>
  <si>
    <t>ば  ba</t>
    <phoneticPr fontId="5" type="noConversion"/>
  </si>
  <si>
    <t>ぱ  pa</t>
    <phoneticPr fontId="5" type="noConversion"/>
  </si>
  <si>
    <t>ぎ  gi</t>
    <phoneticPr fontId="5" type="noConversion"/>
  </si>
  <si>
    <t>じ  ji</t>
    <phoneticPr fontId="5" type="noConversion"/>
  </si>
  <si>
    <t>ぢ  dji</t>
    <phoneticPr fontId="5" type="noConversion"/>
  </si>
  <si>
    <t>び  bi</t>
    <phoneticPr fontId="5" type="noConversion"/>
  </si>
  <si>
    <t>ぴ  pi</t>
    <phoneticPr fontId="5" type="noConversion"/>
  </si>
  <si>
    <t>ぐ  gu</t>
    <phoneticPr fontId="5" type="noConversion"/>
  </si>
  <si>
    <t>ず  zu</t>
    <phoneticPr fontId="5" type="noConversion"/>
  </si>
  <si>
    <t>づ  du</t>
    <phoneticPr fontId="5" type="noConversion"/>
  </si>
  <si>
    <t>ぶ  bu</t>
    <phoneticPr fontId="5" type="noConversion"/>
  </si>
  <si>
    <t>ぷ  pu</t>
    <phoneticPr fontId="5" type="noConversion"/>
  </si>
  <si>
    <t>げ  ge</t>
    <phoneticPr fontId="5" type="noConversion"/>
  </si>
  <si>
    <t>ぜ  ze</t>
    <phoneticPr fontId="5" type="noConversion"/>
  </si>
  <si>
    <t>で  de</t>
    <phoneticPr fontId="5" type="noConversion"/>
  </si>
  <si>
    <t>べ  be</t>
    <phoneticPr fontId="5" type="noConversion"/>
  </si>
  <si>
    <t>ぺ  pe</t>
    <phoneticPr fontId="5" type="noConversion"/>
  </si>
  <si>
    <t>ご  go</t>
    <phoneticPr fontId="5" type="noConversion"/>
  </si>
  <si>
    <t>ぞ  zo</t>
    <phoneticPr fontId="5" type="noConversion"/>
  </si>
  <si>
    <t>ど  do</t>
    <phoneticPr fontId="5" type="noConversion"/>
  </si>
  <si>
    <t>ぼ  bo</t>
    <phoneticPr fontId="5" type="noConversion"/>
  </si>
  <si>
    <t>ぽ  po</t>
    <phoneticPr fontId="5" type="noConversion"/>
  </si>
  <si>
    <t>ガ  ga</t>
    <phoneticPr fontId="5" type="noConversion"/>
  </si>
  <si>
    <t>ザ  za</t>
    <phoneticPr fontId="5" type="noConversion"/>
  </si>
  <si>
    <t>ダ  da</t>
    <phoneticPr fontId="5" type="noConversion"/>
  </si>
  <si>
    <t>バ  ba</t>
    <phoneticPr fontId="5" type="noConversion"/>
  </si>
  <si>
    <t>パ  pa</t>
    <phoneticPr fontId="5" type="noConversion"/>
  </si>
  <si>
    <t>ギ  gi</t>
    <phoneticPr fontId="5" type="noConversion"/>
  </si>
  <si>
    <t>ジ ji</t>
    <phoneticPr fontId="5" type="noConversion"/>
  </si>
  <si>
    <t>ヂ  dji</t>
    <phoneticPr fontId="5" type="noConversion"/>
  </si>
  <si>
    <t>ビ  bi</t>
    <phoneticPr fontId="5" type="noConversion"/>
  </si>
  <si>
    <t>ピ  pi</t>
    <phoneticPr fontId="5" type="noConversion"/>
  </si>
  <si>
    <t>グ  gu</t>
    <phoneticPr fontId="5" type="noConversion"/>
  </si>
  <si>
    <t>ズ  zu</t>
    <phoneticPr fontId="5" type="noConversion"/>
  </si>
  <si>
    <t>ヅ du</t>
    <phoneticPr fontId="5" type="noConversion"/>
  </si>
  <si>
    <t>ブ  bu</t>
    <phoneticPr fontId="5" type="noConversion"/>
  </si>
  <si>
    <t>プ  pu</t>
    <phoneticPr fontId="5" type="noConversion"/>
  </si>
  <si>
    <t>ゲ  ge</t>
    <phoneticPr fontId="5" type="noConversion"/>
  </si>
  <si>
    <t>ゼ  ze</t>
    <phoneticPr fontId="5" type="noConversion"/>
  </si>
  <si>
    <t>デ  de</t>
    <phoneticPr fontId="5" type="noConversion"/>
  </si>
  <si>
    <t>ベ  be</t>
    <phoneticPr fontId="5" type="noConversion"/>
  </si>
  <si>
    <t>ペ  pe</t>
    <phoneticPr fontId="5" type="noConversion"/>
  </si>
  <si>
    <t>ゴ  go</t>
    <phoneticPr fontId="5" type="noConversion"/>
  </si>
  <si>
    <t>ゾ  zo</t>
    <phoneticPr fontId="5" type="noConversion"/>
  </si>
  <si>
    <t>ド  do</t>
    <phoneticPr fontId="5" type="noConversion"/>
  </si>
  <si>
    <t>ボ  bo</t>
    <phoneticPr fontId="5" type="noConversion"/>
  </si>
  <si>
    <t>ポ  po</t>
    <phoneticPr fontId="5" type="noConversion"/>
  </si>
  <si>
    <t xml:space="preserve">        浊音</t>
    <phoneticPr fontId="5" type="noConversion"/>
  </si>
  <si>
    <t xml:space="preserve">        拗音</t>
    <phoneticPr fontId="5" type="noConversion"/>
  </si>
  <si>
    <t>きゃ kya</t>
    <phoneticPr fontId="5" type="noConversion"/>
  </si>
  <si>
    <t>しゃsha</t>
    <phoneticPr fontId="5" type="noConversion"/>
  </si>
  <si>
    <t>ちゃ cha</t>
    <phoneticPr fontId="5" type="noConversion"/>
  </si>
  <si>
    <t>にゃ nya</t>
    <phoneticPr fontId="5" type="noConversion"/>
  </si>
  <si>
    <t>ひゃ hya</t>
    <phoneticPr fontId="5" type="noConversion"/>
  </si>
  <si>
    <t>みゃ mya</t>
    <phoneticPr fontId="5" type="noConversion"/>
  </si>
  <si>
    <t>りゃ rya</t>
    <phoneticPr fontId="5" type="noConversion"/>
  </si>
  <si>
    <t>きゅ kyu</t>
    <phoneticPr fontId="5" type="noConversion"/>
  </si>
  <si>
    <t>しゅshu</t>
    <phoneticPr fontId="5" type="noConversion"/>
  </si>
  <si>
    <t>ちゅ chu</t>
    <phoneticPr fontId="5" type="noConversion"/>
  </si>
  <si>
    <t>にゅ nyu</t>
    <phoneticPr fontId="5" type="noConversion"/>
  </si>
  <si>
    <t>ひゅ hyu</t>
    <phoneticPr fontId="5" type="noConversion"/>
  </si>
  <si>
    <t>みゅ myu</t>
    <phoneticPr fontId="5" type="noConversion"/>
  </si>
  <si>
    <t>りゅ ryu</t>
    <phoneticPr fontId="5" type="noConversion"/>
  </si>
  <si>
    <t>きょ kyo</t>
    <phoneticPr fontId="5" type="noConversion"/>
  </si>
  <si>
    <t>しょ sho</t>
    <phoneticPr fontId="5" type="noConversion"/>
  </si>
  <si>
    <t>ちょ cho</t>
    <phoneticPr fontId="5" type="noConversion"/>
  </si>
  <si>
    <t>にょ nyo</t>
    <phoneticPr fontId="5" type="noConversion"/>
  </si>
  <si>
    <t>ひょ hyo</t>
    <phoneticPr fontId="5" type="noConversion"/>
  </si>
  <si>
    <t>みょ myo</t>
    <phoneticPr fontId="5" type="noConversion"/>
  </si>
  <si>
    <t>りょ ryo</t>
    <phoneticPr fontId="5" type="noConversion"/>
  </si>
  <si>
    <t>ぎゃ gya</t>
    <phoneticPr fontId="5" type="noConversion"/>
  </si>
  <si>
    <t>じゃ ja</t>
    <phoneticPr fontId="5" type="noConversion"/>
  </si>
  <si>
    <t>ぢゃ dja</t>
    <phoneticPr fontId="5" type="noConversion"/>
  </si>
  <si>
    <t>びゃ bya</t>
    <phoneticPr fontId="5" type="noConversion"/>
  </si>
  <si>
    <t>ぴゃ pya</t>
    <phoneticPr fontId="5" type="noConversion"/>
  </si>
  <si>
    <t>ぎゅ gyu</t>
    <phoneticPr fontId="5" type="noConversion"/>
  </si>
  <si>
    <t>じゅ ju</t>
    <phoneticPr fontId="5" type="noConversion"/>
  </si>
  <si>
    <t>ぢゅ dju</t>
    <phoneticPr fontId="5" type="noConversion"/>
  </si>
  <si>
    <t>びゅ byu</t>
    <phoneticPr fontId="5" type="noConversion"/>
  </si>
  <si>
    <t>ぴゅ pyu</t>
    <phoneticPr fontId="5" type="noConversion"/>
  </si>
  <si>
    <t>ぎょ gyo</t>
    <phoneticPr fontId="5" type="noConversion"/>
  </si>
  <si>
    <t>じょ jo</t>
    <phoneticPr fontId="5" type="noConversion"/>
  </si>
  <si>
    <t>ぢょ djo</t>
    <phoneticPr fontId="5" type="noConversion"/>
  </si>
  <si>
    <t>びょ byo</t>
    <phoneticPr fontId="5" type="noConversion"/>
  </si>
  <si>
    <t>ぴょ pyo</t>
    <phoneticPr fontId="5" type="noConversion"/>
  </si>
  <si>
    <t>キャ kya</t>
    <phoneticPr fontId="5" type="noConversion"/>
  </si>
  <si>
    <t>シャsha</t>
    <phoneticPr fontId="5" type="noConversion"/>
  </si>
  <si>
    <t>チャ cha</t>
    <phoneticPr fontId="5" type="noConversion"/>
  </si>
  <si>
    <t>ニャ nya</t>
    <phoneticPr fontId="5" type="noConversion"/>
  </si>
  <si>
    <t>ヒャ hya</t>
    <phoneticPr fontId="5" type="noConversion"/>
  </si>
  <si>
    <t>ミャ mya</t>
    <phoneticPr fontId="5" type="noConversion"/>
  </si>
  <si>
    <t>リャ rya</t>
    <phoneticPr fontId="5" type="noConversion"/>
  </si>
  <si>
    <t>キュ kyu</t>
    <phoneticPr fontId="5" type="noConversion"/>
  </si>
  <si>
    <t>シュshu</t>
    <phoneticPr fontId="5" type="noConversion"/>
  </si>
  <si>
    <t>チュ chu</t>
    <phoneticPr fontId="5" type="noConversion"/>
  </si>
  <si>
    <t>ニュ nyu</t>
    <phoneticPr fontId="5" type="noConversion"/>
  </si>
  <si>
    <t>ヒュ hyu</t>
    <phoneticPr fontId="5" type="noConversion"/>
  </si>
  <si>
    <t>ミュ myu</t>
    <phoneticPr fontId="5" type="noConversion"/>
  </si>
  <si>
    <t>リュ ryu</t>
    <phoneticPr fontId="5" type="noConversion"/>
  </si>
  <si>
    <t>キョ kyo</t>
    <phoneticPr fontId="5" type="noConversion"/>
  </si>
  <si>
    <t>ショ sho</t>
    <phoneticPr fontId="5" type="noConversion"/>
  </si>
  <si>
    <t>チョ cho</t>
    <phoneticPr fontId="5" type="noConversion"/>
  </si>
  <si>
    <t>ニョ nyo</t>
    <phoneticPr fontId="5" type="noConversion"/>
  </si>
  <si>
    <t>ヒョ hyo</t>
    <phoneticPr fontId="5" type="noConversion"/>
  </si>
  <si>
    <t>ミョ myo</t>
    <phoneticPr fontId="5" type="noConversion"/>
  </si>
  <si>
    <t>リョ ryo</t>
    <phoneticPr fontId="5" type="noConversion"/>
  </si>
  <si>
    <t>ギャ gya</t>
    <phoneticPr fontId="5" type="noConversion"/>
  </si>
  <si>
    <t>ジャ ja</t>
    <phoneticPr fontId="5" type="noConversion"/>
  </si>
  <si>
    <t>ヂャ dja</t>
    <phoneticPr fontId="5" type="noConversion"/>
  </si>
  <si>
    <t>ビャ bya</t>
    <phoneticPr fontId="5" type="noConversion"/>
  </si>
  <si>
    <t>ピャ pya</t>
    <phoneticPr fontId="5" type="noConversion"/>
  </si>
  <si>
    <t>ギュ gyu</t>
    <phoneticPr fontId="5" type="noConversion"/>
  </si>
  <si>
    <t>ジュ ju</t>
    <phoneticPr fontId="5" type="noConversion"/>
  </si>
  <si>
    <t>ヂュ dju</t>
    <phoneticPr fontId="5" type="noConversion"/>
  </si>
  <si>
    <t>ビュ byu</t>
    <phoneticPr fontId="5" type="noConversion"/>
  </si>
  <si>
    <t>ピュ pyu</t>
    <phoneticPr fontId="5" type="noConversion"/>
  </si>
  <si>
    <t>ギョ gyo</t>
    <phoneticPr fontId="5" type="noConversion"/>
  </si>
  <si>
    <t>ジョ jo</t>
    <phoneticPr fontId="5" type="noConversion"/>
  </si>
  <si>
    <t>ヂョ djo</t>
    <phoneticPr fontId="5" type="noConversion"/>
  </si>
  <si>
    <t>ビョ byo</t>
    <phoneticPr fontId="5" type="noConversion"/>
  </si>
  <si>
    <t>ピョ pyo</t>
    <phoneticPr fontId="5" type="noConversion"/>
  </si>
  <si>
    <r>
      <t>ちゅうごくじん（中国人）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中国人</t>
    </r>
  </si>
  <si>
    <r>
      <t>にほんじん（日本人）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日本人</t>
    </r>
  </si>
  <si>
    <r>
      <t>かんこくじん（韓国人）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韩国人</t>
    </r>
  </si>
  <si>
    <r>
      <t>アメリカじん（～人）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美国人</t>
    </r>
  </si>
  <si>
    <r>
      <t>フランスじん（～人）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法国人</t>
    </r>
  </si>
  <si>
    <r>
      <t>がくせい（学生）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（大）学生</t>
    </r>
  </si>
  <si>
    <r>
      <t>せんせい（先生）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老师</t>
    </r>
  </si>
  <si>
    <r>
      <t>りゅうがくせい（留学生）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留学生</t>
    </r>
  </si>
  <si>
    <r>
      <t>きょうじゅ（教授）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教授</t>
    </r>
  </si>
  <si>
    <r>
      <t>しゃいん（社員）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职员</t>
    </r>
  </si>
  <si>
    <r>
      <t>かいしゃいん（会社員）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公司职员</t>
    </r>
  </si>
  <si>
    <r>
      <t>てんいん（店員）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店员</t>
    </r>
  </si>
  <si>
    <r>
      <t>けんしゅうせい（研修生）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进修生</t>
    </r>
  </si>
  <si>
    <r>
      <t>きぎょう（企業）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企业</t>
    </r>
  </si>
  <si>
    <r>
      <t>だいがく（大学）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大学</t>
    </r>
  </si>
  <si>
    <r>
      <t>ちち（父）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（我）父亲</t>
    </r>
  </si>
  <si>
    <r>
      <t>かちょう（課長）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科长</t>
    </r>
  </si>
  <si>
    <r>
      <t>しゃちょう（社長）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总经理，社长</t>
    </r>
  </si>
  <si>
    <r>
      <t>でむかえ（出迎え）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迎接</t>
    </r>
  </si>
  <si>
    <r>
      <t>あのひと（あの人）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那个人</t>
    </r>
  </si>
  <si>
    <r>
      <t>わたし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</t>
    </r>
  </si>
  <si>
    <r>
      <t>どうも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非常，很</t>
    </r>
  </si>
  <si>
    <r>
      <t>はい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哎，是（应答）；是的</t>
    </r>
  </si>
  <si>
    <r>
      <t>いいえ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不，不是</t>
    </r>
  </si>
  <si>
    <r>
      <t>あっ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哎，哎呀</t>
    </r>
  </si>
  <si>
    <r>
      <t>り（李）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李</t>
    </r>
  </si>
  <si>
    <r>
      <t>おう（王）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王</t>
    </r>
  </si>
  <si>
    <r>
      <t>ちょう（張）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张</t>
    </r>
  </si>
  <si>
    <r>
      <t>もり（森）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森</t>
    </r>
  </si>
  <si>
    <r>
      <t>はやし（林）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林</t>
    </r>
  </si>
  <si>
    <r>
      <t>おの（小野）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小野</t>
    </r>
  </si>
  <si>
    <r>
      <t>よしだ（吉田）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吉田</t>
    </r>
  </si>
  <si>
    <r>
      <t>たなか（田中）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田中</t>
    </r>
  </si>
  <si>
    <r>
      <t>なかむら（中村）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中村</t>
    </r>
  </si>
  <si>
    <r>
      <t>たろう（太郎）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太郎</t>
    </r>
  </si>
  <si>
    <r>
      <t>キム（金）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金</t>
    </r>
  </si>
  <si>
    <r>
      <t>デュポン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迪蓬</t>
    </r>
  </si>
  <si>
    <r>
      <t>スミス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史密斯</t>
    </r>
  </si>
  <si>
    <r>
      <t>ジョンソン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约翰逊</t>
    </r>
  </si>
  <si>
    <r>
      <t>ちゅうごく（中国）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</t>
    </r>
  </si>
  <si>
    <r>
      <t>とうきょうだいがく（東京大学）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东京大学</t>
    </r>
  </si>
  <si>
    <r>
      <t>ペキンだいがく（北京大学）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北京大学</t>
    </r>
  </si>
  <si>
    <r>
      <t>ジェーシーきかく（ＪＣ企画）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JC</t>
    </r>
    <r>
      <rPr>
        <b/>
        <sz val="10.5"/>
        <color theme="1"/>
        <rFont val="宋体"/>
        <family val="3"/>
        <charset val="134"/>
      </rPr>
      <t>策划公司</t>
    </r>
  </si>
  <si>
    <r>
      <t>にっちゅうしょうじ（日中商事）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日中商社</t>
    </r>
  </si>
  <si>
    <r>
      <t>こんにちは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你好</t>
    </r>
  </si>
  <si>
    <r>
      <t>すみません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对不起，请问</t>
    </r>
  </si>
  <si>
    <r>
      <t>どうぞ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</t>
    </r>
  </si>
  <si>
    <r>
      <t>はじめまして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初次见面</t>
    </r>
  </si>
  <si>
    <r>
      <t>こちらこそ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我才要（请您～）</t>
    </r>
  </si>
  <si>
    <r>
      <t>そうてす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是（这样）</t>
    </r>
  </si>
  <si>
    <r>
      <t>ちがいます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不是</t>
    </r>
  </si>
  <si>
    <r>
      <t>わかりません（分かりません）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不知道</t>
    </r>
  </si>
  <si>
    <r>
      <t>どうもすみません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实在对不起</t>
    </r>
  </si>
  <si>
    <r>
      <t>ほん（本）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</t>
    </r>
  </si>
  <si>
    <r>
      <t>かばん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包，公文包</t>
    </r>
  </si>
  <si>
    <r>
      <t>ノント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笔记本，本子</t>
    </r>
  </si>
  <si>
    <r>
      <t>えんぴつ（鉛筆）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铅笔</t>
    </r>
  </si>
  <si>
    <r>
      <t>かさ（傘）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伞</t>
    </r>
  </si>
  <si>
    <r>
      <t>くつ（靴）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鞋</t>
    </r>
  </si>
  <si>
    <r>
      <t>しんぶん（新聞）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报纸</t>
    </r>
  </si>
  <si>
    <r>
      <t>ざっし（雑誌）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杂志</t>
    </r>
  </si>
  <si>
    <r>
      <t>じしょ（辞書）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词典</t>
    </r>
  </si>
  <si>
    <r>
      <t>カメラ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照相机</t>
    </r>
  </si>
  <si>
    <r>
      <t>テレビ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电视机</t>
    </r>
  </si>
  <si>
    <r>
      <t>パソコン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个人电脑</t>
    </r>
  </si>
  <si>
    <r>
      <t>ラジオ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收音机</t>
    </r>
  </si>
  <si>
    <r>
      <t>でんわ（電話）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电话</t>
    </r>
  </si>
  <si>
    <r>
      <t>つくえ（机）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桌子，书桌</t>
    </r>
  </si>
  <si>
    <r>
      <t>いす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椅子</t>
    </r>
  </si>
  <si>
    <r>
      <t>かぎ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钥匙，锁</t>
    </r>
  </si>
  <si>
    <r>
      <t>とけい（時計）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钟，表</t>
    </r>
  </si>
  <si>
    <r>
      <t>てちょう（手帳）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记事本</t>
    </r>
  </si>
  <si>
    <r>
      <t>しゃしん（写真）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照片</t>
    </r>
  </si>
  <si>
    <r>
      <t>くるま（車）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</t>
    </r>
  </si>
  <si>
    <r>
      <t>じてんしゃ（自転車）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自行车</t>
    </r>
  </si>
  <si>
    <r>
      <t>おみやげ（お土産）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礼物</t>
    </r>
  </si>
  <si>
    <r>
      <t>めいさんひん（名産品）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特产，名产</t>
    </r>
  </si>
  <si>
    <r>
      <t>シルク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丝绸</t>
    </r>
  </si>
  <si>
    <r>
      <t>ハンカチ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手绢</t>
    </r>
  </si>
  <si>
    <r>
      <t>かいしゃ（会社）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公司</t>
    </r>
  </si>
  <si>
    <r>
      <t>かた（方）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（敬称）</t>
    </r>
    <r>
      <rPr>
        <b/>
        <sz val="10.5"/>
        <color theme="1"/>
        <rFont val="宋体"/>
        <family val="3"/>
        <charset val="134"/>
      </rPr>
      <t>位，人</t>
    </r>
  </si>
  <si>
    <r>
      <t>ひと（人）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人</t>
    </r>
  </si>
  <si>
    <r>
      <t>かぞく（家族）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家人，家属</t>
    </r>
  </si>
  <si>
    <r>
      <t>はは（母）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（我）母亲</t>
    </r>
  </si>
  <si>
    <r>
      <t>おかあさん（お母さん）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母亲</t>
    </r>
  </si>
  <si>
    <r>
      <t>にほんご（日本語）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日语</t>
    </r>
  </si>
  <si>
    <r>
      <t>ちゅうごくご（中国語）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汉语，中文</t>
    </r>
  </si>
  <si>
    <r>
      <t>これ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这，这个</t>
    </r>
  </si>
  <si>
    <r>
      <t>それ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</si>
  <si>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あれ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</si>
  <si>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どれ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哪个</t>
    </r>
  </si>
  <si>
    <r>
      <t>なん（何）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什么</t>
    </r>
  </si>
  <si>
    <r>
      <t>だれ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谁</t>
    </r>
  </si>
  <si>
    <r>
      <t>どなた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哪位</t>
    </r>
  </si>
  <si>
    <r>
      <t>この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这，这个</t>
    </r>
  </si>
  <si>
    <r>
      <t>その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</si>
  <si>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あの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</si>
  <si>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どの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哪个</t>
    </r>
  </si>
  <si>
    <r>
      <t>えっ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</t>
    </r>
  </si>
  <si>
    <r>
      <t>わあ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哇</t>
    </r>
  </si>
  <si>
    <r>
      <t>ええ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（应答）嗯，是</t>
    </r>
  </si>
  <si>
    <r>
      <t>ながしま（長島）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长岛</t>
    </r>
  </si>
  <si>
    <r>
      <t>にほん（日本）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</t>
    </r>
  </si>
  <si>
    <r>
      <t>スワトウ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汕头</t>
    </r>
  </si>
  <si>
    <r>
      <t>ロンドン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伦敦</t>
    </r>
  </si>
  <si>
    <r>
      <t>おいくつ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多大</t>
    </r>
  </si>
  <si>
    <r>
      <t>デパート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百货商店</t>
    </r>
  </si>
  <si>
    <r>
      <t>しょくどう（食堂）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食堂</t>
    </r>
  </si>
  <si>
    <r>
      <t>ゆうびんきょく（郵便局）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邮局</t>
    </r>
  </si>
  <si>
    <r>
      <t>ぎんこう（銀行）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银行</t>
    </r>
  </si>
  <si>
    <r>
      <t>としょかん（図書館）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图书馆</t>
    </r>
  </si>
  <si>
    <r>
      <t>マンション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（高级）公寓</t>
    </r>
  </si>
  <si>
    <r>
      <t>ホテル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宾馆</t>
    </r>
  </si>
  <si>
    <r>
      <t>コンビニ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便利店</t>
    </r>
    <r>
      <rPr>
        <sz val="10.5"/>
        <color theme="1"/>
        <rFont val="Times New Roman"/>
        <family val="1"/>
      </rPr>
      <t xml:space="preserve"> </t>
    </r>
  </si>
  <si>
    <r>
      <t>きっさてん（喫茶店）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咖啡馆</t>
    </r>
  </si>
  <si>
    <r>
      <t>びょういん（病院）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医院</t>
    </r>
  </si>
  <si>
    <r>
      <t>ほんや（本屋）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书店</t>
    </r>
  </si>
  <si>
    <r>
      <t>レストラン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餐馆，西餐馆</t>
    </r>
  </si>
  <si>
    <r>
      <t>ビル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大楼，大厦</t>
    </r>
  </si>
  <si>
    <r>
      <t>たてもの（建物）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大楼，建筑物</t>
    </r>
  </si>
  <si>
    <r>
      <t>うりば（売り場）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柜台，出售处</t>
    </r>
  </si>
  <si>
    <r>
      <t>トイレ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厕所，盥洗室</t>
    </r>
  </si>
  <si>
    <r>
      <t>いりぐち（入り口）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入口</t>
    </r>
  </si>
  <si>
    <r>
      <t>じむしょ（事務所）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事务所，办事处</t>
    </r>
  </si>
  <si>
    <r>
      <t>うけつけ（受付）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接待处</t>
    </r>
  </si>
  <si>
    <r>
      <t>エスカレーター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自动扶梯</t>
    </r>
  </si>
  <si>
    <r>
      <t>ふく（服）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衣服</t>
    </r>
  </si>
  <si>
    <r>
      <t>コート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风衣，大衣</t>
    </r>
  </si>
  <si>
    <r>
      <t>デジカメ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数码相机</t>
    </r>
  </si>
  <si>
    <r>
      <t>くに（国）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国，国家</t>
    </r>
  </si>
  <si>
    <r>
      <t>ちず（地図）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地图</t>
    </r>
  </si>
  <si>
    <r>
      <t>となり（隣）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旁边</t>
    </r>
  </si>
  <si>
    <r>
      <t>しゅうへん（周辺）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附近，周边</t>
    </r>
  </si>
  <si>
    <r>
      <t>きょう（今日）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今天</t>
    </r>
  </si>
  <si>
    <r>
      <t>すいようび（水曜日）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星期三</t>
    </r>
  </si>
  <si>
    <r>
      <t>もくようび（木曜日）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星期四</t>
    </r>
  </si>
  <si>
    <r>
      <t>ここ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这里，这儿</t>
    </r>
  </si>
  <si>
    <r>
      <t>そこ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那里，那儿</t>
    </r>
  </si>
  <si>
    <r>
      <t>あそこ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那里，那儿</t>
    </r>
  </si>
  <si>
    <r>
      <t>こちら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这儿，这边</t>
    </r>
  </si>
  <si>
    <r>
      <t>そちら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那儿，那边</t>
    </r>
  </si>
  <si>
    <r>
      <t>あちら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那儿，那边</t>
    </r>
  </si>
  <si>
    <r>
      <t>どこ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哪里，哪儿</t>
    </r>
  </si>
  <si>
    <r>
      <t>どちら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哪儿，哪边</t>
    </r>
  </si>
  <si>
    <r>
      <t>あのう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请问，对不起</t>
    </r>
  </si>
  <si>
    <r>
      <t>シャンハイ（上海）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上海</t>
    </r>
  </si>
  <si>
    <r>
      <t>とうきょう（東京）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</t>
    </r>
  </si>
  <si>
    <r>
      <t>いくら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多少钱</t>
    </r>
  </si>
  <si>
    <r>
      <t>へや（部屋）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房间，屋子</t>
    </r>
  </si>
  <si>
    <r>
      <t>にわ（庭）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院子</t>
    </r>
  </si>
  <si>
    <r>
      <t>いえ（家）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</t>
    </r>
  </si>
  <si>
    <r>
      <t>いま（居間）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起居室</t>
    </r>
  </si>
  <si>
    <r>
      <t>れいぞうこ（冷蔵庫）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冰箱</t>
    </r>
  </si>
  <si>
    <r>
      <t>かべ（壁）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墙壁</t>
    </r>
  </si>
  <si>
    <r>
      <t>スイッチ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开关</t>
    </r>
  </si>
  <si>
    <r>
      <t>ほんだな（本棚）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书架</t>
    </r>
  </si>
  <si>
    <r>
      <t>ベッド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床</t>
    </r>
  </si>
  <si>
    <r>
      <t>ねこ（猫）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猫</t>
    </r>
  </si>
  <si>
    <r>
      <t>いぬ（犬）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狗</t>
    </r>
  </si>
  <si>
    <r>
      <t>はこ（箱）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盒子，箱子</t>
    </r>
  </si>
  <si>
    <r>
      <t>めがね（眼鏡）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眼镜</t>
    </r>
  </si>
  <si>
    <r>
      <t>ビデオ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录像机</t>
    </r>
  </si>
  <si>
    <r>
      <t>サッカーボール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足球</t>
    </r>
  </si>
  <si>
    <r>
      <t>ビール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啤酒</t>
    </r>
  </si>
  <si>
    <r>
      <t>ウイスキー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威士忌</t>
    </r>
  </si>
  <si>
    <r>
      <t>こども（子供）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孩子，小孩</t>
    </r>
  </si>
  <si>
    <r>
      <t>きょうだい（兄弟）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兄弟姐妹</t>
    </r>
  </si>
  <si>
    <r>
      <t>りょうしん（両親）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父母，双亲</t>
    </r>
  </si>
  <si>
    <r>
      <t>いもうと（妹）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妹妹</t>
    </r>
  </si>
  <si>
    <r>
      <t>おとこ（男）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男</t>
    </r>
  </si>
  <si>
    <r>
      <t>おんな（女）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女</t>
    </r>
  </si>
  <si>
    <r>
      <t>せいと（生徒）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学生</t>
    </r>
  </si>
  <si>
    <r>
      <t>うえ（上）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上面</t>
    </r>
  </si>
  <si>
    <r>
      <t>そと（外）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外面</t>
    </r>
  </si>
  <si>
    <r>
      <t>なか（中）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里面，内部，中间</t>
    </r>
  </si>
  <si>
    <r>
      <t>した（下）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下面</t>
    </r>
  </si>
  <si>
    <r>
      <t>まえ（前）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前，前面</t>
    </r>
  </si>
  <si>
    <r>
      <t>うしろ（後ろ）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后，后面</t>
    </r>
  </si>
  <si>
    <r>
      <t>ちかく（近く）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附近，近旁</t>
    </r>
  </si>
  <si>
    <r>
      <t>ばしょ（場所）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所在地，地方，场所</t>
    </r>
  </si>
  <si>
    <r>
      <t>きょうしつ（教室）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教室</t>
    </r>
  </si>
  <si>
    <r>
      <t>かいぎしつ（会議室）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会议室</t>
    </r>
  </si>
  <si>
    <r>
      <t>としょしつ（図書室）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图书室</t>
    </r>
  </si>
  <si>
    <r>
      <t>こうえん（公園）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公园</t>
    </r>
  </si>
  <si>
    <r>
      <t>はなや（花屋）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花店</t>
    </r>
  </si>
  <si>
    <r>
      <t>ばいてん（売店）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小卖部，售货亭</t>
    </r>
  </si>
  <si>
    <r>
      <t>えき（駅）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车站</t>
    </r>
  </si>
  <si>
    <r>
      <t>ちかてつ（地下鉄）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地铁</t>
    </r>
  </si>
  <si>
    <r>
      <t>き（樹）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树，树木</t>
    </r>
  </si>
  <si>
    <r>
      <t>ひとりぐらし（一人暮らし）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单身生活</t>
    </r>
  </si>
  <si>
    <r>
      <t>あります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有，在（非意志者）</t>
    </r>
  </si>
  <si>
    <r>
      <t>います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有，在（具意志者）</t>
    </r>
  </si>
  <si>
    <r>
      <t>ええと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啊，嗯</t>
    </r>
  </si>
  <si>
    <r>
      <t>よこはま（横浜）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横滨</t>
    </r>
  </si>
  <si>
    <r>
      <t>なごや（名古屋）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名古屋</t>
    </r>
  </si>
  <si>
    <r>
      <t>おおさか（大阪）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大阪</t>
    </r>
  </si>
  <si>
    <r>
      <t>ジェーアール（ＪＲ）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JR</t>
    </r>
  </si>
  <si>
    <r>
      <t>いま（今）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现在</t>
    </r>
  </si>
  <si>
    <r>
      <t>せんしゅう（先週）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上个星期</t>
    </r>
  </si>
  <si>
    <r>
      <t>らいしゅう（来週）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下个星期</t>
    </r>
  </si>
  <si>
    <r>
      <t>さらいしゅう（さ来週）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下下个星期</t>
    </r>
  </si>
  <si>
    <r>
      <t>こんしゅう（今週）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这个星期</t>
    </r>
  </si>
  <si>
    <r>
      <t>きのう（昨日）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昨天</t>
    </r>
  </si>
  <si>
    <r>
      <t>あした（明日）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明天</t>
    </r>
  </si>
  <si>
    <r>
      <t>あさって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后天</t>
    </r>
  </si>
  <si>
    <r>
      <t>おととい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前天</t>
    </r>
  </si>
  <si>
    <r>
      <t>まいにち（毎日）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每天，每日</t>
    </r>
  </si>
  <si>
    <r>
      <t>まいあさ（毎朝）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每天早晨</t>
    </r>
  </si>
  <si>
    <r>
      <t>まいばん（毎晩）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每天晚上</t>
    </r>
  </si>
  <si>
    <r>
      <t>まいしゅう（毎週）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每个星期</t>
    </r>
  </si>
  <si>
    <r>
      <t>ごぜん（午前）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エーエム(am)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上午</t>
    </r>
  </si>
  <si>
    <r>
      <t>ごご（午後）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ピーエム(pm)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下午</t>
    </r>
  </si>
  <si>
    <r>
      <t xml:space="preserve">にちようび（日曜日）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星期日</t>
    </r>
  </si>
  <si>
    <r>
      <t xml:space="preserve">げつようび（月曜日）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星期一</t>
    </r>
  </si>
  <si>
    <r>
      <t xml:space="preserve">かようび（火曜日）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星期二</t>
    </r>
  </si>
  <si>
    <r>
      <t xml:space="preserve">きんようび（金曜日）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星期五</t>
    </r>
  </si>
  <si>
    <r>
      <t xml:space="preserve">どようび（土曜日）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星期六</t>
    </r>
  </si>
  <si>
    <r>
      <t xml:space="preserve">けさ（今朝）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今天早晨</t>
    </r>
  </si>
  <si>
    <r>
      <t xml:space="preserve">こんばん（今晩）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今天晚上</t>
    </r>
  </si>
  <si>
    <r>
      <t xml:space="preserve">らいねん（来年）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明年</t>
    </r>
  </si>
  <si>
    <r>
      <t xml:space="preserve">きょねん（去年）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去年</t>
    </r>
  </si>
  <si>
    <r>
      <t xml:space="preserve">よる（夜）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晚上，夜里，夜晚</t>
    </r>
  </si>
  <si>
    <r>
      <t xml:space="preserve">ばん（晩）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晚上</t>
    </r>
  </si>
  <si>
    <r>
      <t xml:space="preserve">あさ（朝）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早晨</t>
    </r>
  </si>
  <si>
    <r>
      <t xml:space="preserve">がっこう（学校）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学校</t>
    </r>
  </si>
  <si>
    <r>
      <t xml:space="preserve">しけん（試験）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考试</t>
    </r>
  </si>
  <si>
    <r>
      <t xml:space="preserve">しごと（仕事）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工作</t>
    </r>
  </si>
  <si>
    <r>
      <t xml:space="preserve">ちこく（遅刻）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迟到</t>
    </r>
  </si>
  <si>
    <r>
      <t xml:space="preserve">やすみ（休み）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休息</t>
    </r>
  </si>
  <si>
    <r>
      <t xml:space="preserve">しゅっちょう（出張）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出差</t>
    </r>
  </si>
  <si>
    <r>
      <t xml:space="preserve">けんしゅう（研修）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进修</t>
    </r>
  </si>
  <si>
    <r>
      <t xml:space="preserve">りょこう（旅行）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旅行</t>
    </r>
  </si>
  <si>
    <r>
      <t xml:space="preserve">てんらんかい（展覧会）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展览会</t>
    </r>
  </si>
  <si>
    <r>
      <t xml:space="preserve">かんげいかい（歓迎会）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欢迎会</t>
    </r>
  </si>
  <si>
    <r>
      <t xml:space="preserve">パーティー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联欢会</t>
    </r>
  </si>
  <si>
    <r>
      <t xml:space="preserve">おたく（お宅）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府上，（您）家</t>
    </r>
  </si>
  <si>
    <r>
      <t xml:space="preserve">いつ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什么时候</t>
    </r>
  </si>
  <si>
    <r>
      <t xml:space="preserve">やすみます（休みます）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休息</t>
    </r>
  </si>
  <si>
    <r>
      <t xml:space="preserve">はたらきます（働きます）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工作</t>
    </r>
  </si>
  <si>
    <r>
      <t xml:space="preserve">はじまります（始まります）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开始</t>
    </r>
  </si>
  <si>
    <r>
      <t xml:space="preserve">おわります（終わります）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结束</t>
    </r>
  </si>
  <si>
    <r>
      <t xml:space="preserve">おきます（起きます）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起床</t>
    </r>
  </si>
  <si>
    <r>
      <t xml:space="preserve">ねます（寝ます）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睡觉</t>
    </r>
  </si>
  <si>
    <r>
      <t xml:space="preserve">べんきょうします（勉強～）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学习</t>
    </r>
  </si>
  <si>
    <r>
      <t xml:space="preserve">いつも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经常，总是</t>
    </r>
  </si>
  <si>
    <r>
      <t xml:space="preserve">ペキンししゃ（北京支社）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北京分社</t>
    </r>
  </si>
  <si>
    <r>
      <t xml:space="preserve">こうべ（神戸）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神户</t>
    </r>
  </si>
  <si>
    <r>
      <t xml:space="preserve">おはよう </t>
    </r>
    <r>
      <rPr>
        <b/>
        <sz val="10.5"/>
        <color theme="1"/>
        <rFont val="宋体"/>
        <family val="3"/>
        <charset val="134"/>
      </rPr>
      <t>你早</t>
    </r>
  </si>
  <si>
    <r>
      <t>らいげつ（来月）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下个月</t>
    </r>
  </si>
  <si>
    <r>
      <t>せんげつ（先月）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上个月</t>
    </r>
  </si>
  <si>
    <r>
      <t>よなか（夜中）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午夜，半夜</t>
    </r>
  </si>
  <si>
    <r>
      <t>ゆうべ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昨天晚上</t>
    </r>
  </si>
  <si>
    <r>
      <t>コンサート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音乐会</t>
    </r>
  </si>
  <si>
    <r>
      <t>クリスマス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圣诞节</t>
    </r>
  </si>
  <si>
    <r>
      <t>たんじょうび（誕生日）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生日</t>
    </r>
  </si>
  <si>
    <r>
      <t>こどものひ（こどもの日）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儿童节</t>
    </r>
  </si>
  <si>
    <r>
      <t>なつやすみ（夏休み）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暑假</t>
    </r>
  </si>
  <si>
    <r>
      <t>こうつうきかん（交通機関）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交通工具</t>
    </r>
  </si>
  <si>
    <r>
      <t>しんかんせん（新幹線）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新干线</t>
    </r>
  </si>
  <si>
    <r>
      <t>ひこうき（飛行機）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飞机</t>
    </r>
  </si>
  <si>
    <r>
      <t>フェリー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渡轮</t>
    </r>
  </si>
  <si>
    <r>
      <t>でんしゃ（電車）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电车</t>
    </r>
  </si>
  <si>
    <r>
      <t>バス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公共汽车</t>
    </r>
  </si>
  <si>
    <r>
      <t>タクシー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出租车</t>
    </r>
  </si>
  <si>
    <r>
      <t>びじゅつかん（美術館）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美术馆</t>
    </r>
  </si>
  <si>
    <r>
      <t>アパート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公寓</t>
    </r>
  </si>
  <si>
    <r>
      <t>うち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</t>
    </r>
  </si>
  <si>
    <r>
      <t>プール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游泳池</t>
    </r>
  </si>
  <si>
    <r>
      <t>ともだち（友達）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朋友</t>
    </r>
  </si>
  <si>
    <r>
      <t>おとうと（弟）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弟弟</t>
    </r>
  </si>
  <si>
    <r>
      <t>いきます（行きます）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去</t>
    </r>
  </si>
  <si>
    <r>
      <t>かえります（帰ります）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回来，回去</t>
    </r>
  </si>
  <si>
    <r>
      <t>きます（来ます）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来</t>
    </r>
  </si>
  <si>
    <r>
      <t>まっすぐ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径直，笔直</t>
    </r>
  </si>
  <si>
    <r>
      <t>いっしょに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一起</t>
    </r>
  </si>
  <si>
    <r>
      <t>さとう（佐藤）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佐藤</t>
    </r>
  </si>
  <si>
    <r>
      <t>ペキン（北京）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</t>
    </r>
  </si>
  <si>
    <r>
      <t>アメリカ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美国</t>
    </r>
  </si>
  <si>
    <r>
      <t>かんこく（韓国）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韩国</t>
    </r>
  </si>
  <si>
    <r>
      <t>フランス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法国</t>
    </r>
  </si>
  <si>
    <r>
      <t>ひろしま（広島）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广岛</t>
    </r>
  </si>
  <si>
    <r>
      <t>きょうと（京都）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京都</t>
    </r>
  </si>
  <si>
    <r>
      <t>ほっかいどう（北海道）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北海道</t>
    </r>
  </si>
  <si>
    <r>
      <t>はこね（箱根）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箱根</t>
    </r>
  </si>
  <si>
    <r>
      <t>ぎんざ（銀座）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银座</t>
    </r>
  </si>
  <si>
    <r>
      <t>しぶや（渋谷）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涩谷</t>
    </r>
  </si>
  <si>
    <r>
      <t>しんじゅく（新宿）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新宿</t>
    </r>
  </si>
  <si>
    <r>
      <t>あるいて（歩いて）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步行</t>
    </r>
  </si>
  <si>
    <r>
      <t>コーヒー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咖啡</t>
    </r>
  </si>
  <si>
    <r>
      <t>コーラ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可乐</t>
    </r>
  </si>
  <si>
    <r>
      <t>おちゃ（お茶）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茶</t>
    </r>
  </si>
  <si>
    <r>
      <t>ワイン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葡萄酒</t>
    </r>
  </si>
  <si>
    <r>
      <t>バン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面包</t>
    </r>
  </si>
  <si>
    <r>
      <t>ケーキ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蛋糕</t>
    </r>
  </si>
  <si>
    <r>
      <t>おかゆ（お粥）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粥</t>
    </r>
  </si>
  <si>
    <r>
      <t>ひるごはん（昼ご飯）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午饭</t>
    </r>
  </si>
  <si>
    <r>
      <t>おべんとう（お弁当）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盒饭</t>
    </r>
  </si>
  <si>
    <r>
      <t>そば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荞麦面</t>
    </r>
  </si>
  <si>
    <r>
      <t>うどん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面条</t>
    </r>
  </si>
  <si>
    <r>
      <t>おやこどん（親子丼）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鸡肉鸡蛋盖饭</t>
    </r>
  </si>
  <si>
    <r>
      <t>カレー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咖喱（饭）</t>
    </r>
  </si>
  <si>
    <r>
      <t>たまご（卵）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鸡蛋</t>
    </r>
  </si>
  <si>
    <r>
      <t>チーズ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干酪</t>
    </r>
  </si>
  <si>
    <r>
      <t>リンゴ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苹果</t>
    </r>
  </si>
  <si>
    <r>
      <t>イチゴ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草莓</t>
    </r>
  </si>
  <si>
    <r>
      <t>そばや（そば屋）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荞麦面馆</t>
    </r>
  </si>
  <si>
    <r>
      <t>テニス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网球</t>
    </r>
  </si>
  <si>
    <r>
      <t>ジョギング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慢跑，跑步</t>
    </r>
  </si>
  <si>
    <r>
      <t>サッカー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足球</t>
    </r>
  </si>
  <si>
    <r>
      <t>やきゅう（野球）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棒球</t>
    </r>
  </si>
  <si>
    <r>
      <t>もうしこみしょ（申込書）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申请书</t>
    </r>
  </si>
  <si>
    <r>
      <t>てかみ（手紙）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信</t>
    </r>
  </si>
  <si>
    <r>
      <t>シーディー（ＣＤ）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CD</t>
    </r>
  </si>
  <si>
    <r>
      <t>おんがく（音楽）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音乐</t>
    </r>
  </si>
  <si>
    <r>
      <t>えいが（映画）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电影</t>
    </r>
  </si>
  <si>
    <r>
      <t>どうぶつえん（動物園）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动物园</t>
    </r>
  </si>
  <si>
    <r>
      <t>バンダ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熊猫</t>
    </r>
  </si>
  <si>
    <r>
      <t>のみます（飲みます）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喝</t>
    </r>
  </si>
  <si>
    <r>
      <t>かいます（買います）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买</t>
    </r>
  </si>
  <si>
    <r>
      <t>とります（撮ります）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拍照，拍摄</t>
    </r>
  </si>
  <si>
    <r>
      <t>かきます（書きます）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写</t>
    </r>
  </si>
  <si>
    <r>
      <t>よみます（読みます）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读</t>
    </r>
  </si>
  <si>
    <r>
      <t>ききます（聞きます）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听</t>
    </r>
  </si>
  <si>
    <r>
      <t>たべます（食べます）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</t>
    </r>
  </si>
  <si>
    <r>
      <t>みます（見ます）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看</t>
    </r>
  </si>
  <si>
    <r>
      <t>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干，做</t>
    </r>
  </si>
  <si>
    <r>
      <t>そうじします（掃除～）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打扫，扫除</t>
    </r>
  </si>
  <si>
    <r>
      <t>これから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从现在起，今后</t>
    </r>
  </si>
  <si>
    <r>
      <t>じゃあ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では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那么</t>
    </r>
  </si>
  <si>
    <r>
      <t>いらっしゃいませ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欢迎光临</t>
    </r>
  </si>
  <si>
    <r>
      <t>しつれいします（失礼します）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告辞了，我走了</t>
    </r>
  </si>
  <si>
    <r>
      <t>しつれいしました（失礼しました）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打搅了，失礼了</t>
    </r>
  </si>
  <si>
    <r>
      <t>いってまいります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我走了</t>
    </r>
  </si>
  <si>
    <r>
      <t>いってらっしゃい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你走好</t>
    </r>
  </si>
  <si>
    <r>
      <t>ただいま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我回来了</t>
    </r>
  </si>
  <si>
    <r>
      <t>おかえりなさい（お帰りなさい）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你回来了</t>
    </r>
  </si>
  <si>
    <r>
      <t>かしこまりました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我知道了</t>
    </r>
  </si>
  <si>
    <r>
      <t>おじゃまします（お邪魔します）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打扰了</t>
    </r>
  </si>
  <si>
    <r>
      <t>ください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给我</t>
    </r>
  </si>
  <si>
    <r>
      <t>ごぜんちゅう（午前中）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上午</t>
    </r>
  </si>
  <si>
    <r>
      <t>ブレゼント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礼物</t>
    </r>
  </si>
  <si>
    <r>
      <t>チケット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票</t>
    </r>
  </si>
  <si>
    <r>
      <t>バンフレット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小册子</t>
    </r>
  </si>
  <si>
    <r>
      <t>きねんひん（記念品）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纪念品</t>
    </r>
  </si>
  <si>
    <r>
      <t>スケジュールひょう（～表）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日程表</t>
    </r>
  </si>
  <si>
    <r>
      <t>しゃしんしゅう（写真集）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影集</t>
    </r>
  </si>
  <si>
    <r>
      <t>はな（花）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</t>
    </r>
  </si>
  <si>
    <r>
      <t>おかね（お金）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钱，金钱</t>
    </r>
  </si>
  <si>
    <r>
      <t>ボールペン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圆珠笔</t>
    </r>
  </si>
  <si>
    <r>
      <t>しゅくだい（宿題）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作业</t>
    </r>
  </si>
  <si>
    <r>
      <t>こうくうびん（航空便）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航空邮件</t>
    </r>
  </si>
  <si>
    <r>
      <t>そくたつ（速達）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速递，快件</t>
    </r>
  </si>
  <si>
    <r>
      <t>ファックス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传真</t>
    </r>
  </si>
  <si>
    <r>
      <t>メール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邮件</t>
    </r>
  </si>
  <si>
    <r>
      <t>でんおばんごう（電話番号）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电话号码</t>
    </r>
  </si>
  <si>
    <r>
      <t>じゅうしょ（住所）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住址</t>
    </r>
  </si>
  <si>
    <r>
      <t>なまえ（名前）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姓名</t>
    </r>
  </si>
  <si>
    <r>
      <t>けん（件）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事件，事情</t>
    </r>
  </si>
  <si>
    <r>
      <t>しんぶんし（新聞紙）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报纸</t>
    </r>
  </si>
  <si>
    <r>
      <t>かみひこうき（紙飛行機）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纸折的飞机</t>
    </r>
  </si>
  <si>
    <r>
      <t>チョコレート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巧克力</t>
    </r>
  </si>
  <si>
    <r>
      <t>アイスクリーム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冰激凌</t>
    </r>
  </si>
  <si>
    <r>
      <t>こむぎこ（小麦粉）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面粉</t>
    </r>
  </si>
  <si>
    <r>
      <t>はし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筷子</t>
    </r>
  </si>
  <si>
    <r>
      <t>スプーン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勺子</t>
    </r>
  </si>
  <si>
    <r>
      <t>おにいさん（お兄さん）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哥哥</t>
    </r>
  </si>
  <si>
    <r>
      <t>かんこくご（韓国語）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韩语</t>
    </r>
  </si>
  <si>
    <r>
      <t>ゆうがた（夕方）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傍晚</t>
    </r>
  </si>
  <si>
    <r>
      <t>ひるやすみ（昼休み）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午休</t>
    </r>
  </si>
  <si>
    <r>
      <t>もらいます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拿到，得到</t>
    </r>
  </si>
  <si>
    <r>
      <t>あいます（会います）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见</t>
    </r>
  </si>
  <si>
    <r>
      <t>おくります（送ります）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寄</t>
    </r>
  </si>
  <si>
    <r>
      <t>つくります（作ります）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做，制造</t>
    </r>
  </si>
  <si>
    <r>
      <t>ふとります（太ります）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胖</t>
    </r>
  </si>
  <si>
    <r>
      <t>だします（出します）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寄（信）</t>
    </r>
  </si>
  <si>
    <r>
      <t>とどきます（届きます）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收到，送到，寄到</t>
    </r>
  </si>
  <si>
    <r>
      <t>かきます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画</t>
    </r>
  </si>
  <si>
    <r>
      <t>かします（貸します）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借出，借给</t>
    </r>
  </si>
  <si>
    <r>
      <t>ならいます（習います）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学习</t>
    </r>
  </si>
  <si>
    <r>
      <t>あげます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</t>
    </r>
  </si>
  <si>
    <r>
      <t>かけます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打（电话）</t>
    </r>
  </si>
  <si>
    <r>
      <t>かります（借ります）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（向别人）借</t>
    </r>
  </si>
  <si>
    <r>
      <t>おしえます（教えます）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</t>
    </r>
  </si>
  <si>
    <r>
      <t>もう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已经</t>
    </r>
  </si>
  <si>
    <r>
      <t>さっき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刚才</t>
    </r>
  </si>
  <si>
    <r>
      <t>たったいま（たった今）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刚刚</t>
    </r>
  </si>
  <si>
    <r>
      <t>もういちど（もう一度）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再一次</t>
    </r>
  </si>
  <si>
    <r>
      <t>まえに（前に）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以前</t>
    </r>
  </si>
  <si>
    <r>
      <t>ちん（陳）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陈</t>
    </r>
  </si>
  <si>
    <r>
      <t>どうですか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</si>
  <si>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おねがいします（お願いします）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拜托了</t>
    </r>
  </si>
  <si>
    <r>
      <t>わかりました（分かりました）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明白了</t>
    </r>
  </si>
  <si>
    <r>
      <t>よかったです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太好了</t>
    </r>
  </si>
  <si>
    <r>
      <t>りょうり（料理）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菜肴，饭菜</t>
    </r>
  </si>
  <si>
    <r>
      <t>しせんりょうり（四川料理）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四川菜</t>
    </r>
  </si>
  <si>
    <r>
      <t>スーブ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汤</t>
    </r>
  </si>
  <si>
    <r>
      <t>ぺキンダック（北京～）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北京烤鸭</t>
    </r>
  </si>
  <si>
    <r>
      <t>たべもの（食べ物）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食物，食品</t>
    </r>
  </si>
  <si>
    <r>
      <t>すきやき（すき焼き）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日式牛肉火锅</t>
    </r>
  </si>
  <si>
    <r>
      <t>おんせん（温泉）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温泉</t>
    </r>
  </si>
  <si>
    <r>
      <t>おゆ（お湯）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热水，开水</t>
    </r>
  </si>
  <si>
    <r>
      <t>みず（水）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水，凉水</t>
    </r>
  </si>
  <si>
    <r>
      <t>ゆかた（浴衣）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浴衣，夏季和服</t>
    </r>
  </si>
  <si>
    <r>
      <t>ながめ（眺め）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景色，风景</t>
    </r>
  </si>
  <si>
    <r>
      <t>くすり（薬）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药</t>
    </r>
  </si>
  <si>
    <r>
      <t>てんき（天気）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天气</t>
    </r>
  </si>
  <si>
    <r>
      <t>うみ（海）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大海</t>
    </r>
  </si>
  <si>
    <r>
      <t>やま（山）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山</t>
    </r>
  </si>
  <si>
    <r>
      <t>かみ（紙）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纸</t>
    </r>
  </si>
  <si>
    <r>
      <t>ニュース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新闻</t>
    </r>
  </si>
  <si>
    <r>
      <t>じょせい（女性）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女性</t>
    </r>
  </si>
  <si>
    <r>
      <t>おきゃくさま（お客様）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来宾</t>
    </r>
  </si>
  <si>
    <r>
      <t>グラス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玻璃杯</t>
    </r>
  </si>
  <si>
    <r>
      <t>かぶき（歌舞伎）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歌舞伎</t>
    </r>
  </si>
  <si>
    <r>
      <t>きもち（気持ち）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心情</t>
    </r>
  </si>
  <si>
    <r>
      <t>たくさん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很多</t>
    </r>
  </si>
  <si>
    <r>
      <t>からい（辛い）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辣</t>
    </r>
  </si>
  <si>
    <r>
      <t>あまい（甘い）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甜</t>
    </r>
  </si>
  <si>
    <r>
      <t>しおからい（塩辛い）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しょっぱい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咸</t>
    </r>
  </si>
  <si>
    <r>
      <t xml:space="preserve">すっぱい（酸っぱい）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酸</t>
    </r>
  </si>
  <si>
    <r>
      <t xml:space="preserve">にがい（苦い）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苦</t>
    </r>
  </si>
  <si>
    <r>
      <t xml:space="preserve">おいしい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好吃，可口</t>
    </r>
  </si>
  <si>
    <r>
      <t xml:space="preserve">まずい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不好吃，难吃</t>
    </r>
  </si>
  <si>
    <r>
      <t xml:space="preserve">あつい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热，烫</t>
    </r>
  </si>
  <si>
    <r>
      <t xml:space="preserve">つめたい（冷たい）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凉</t>
    </r>
  </si>
  <si>
    <r>
      <t xml:space="preserve">たのしい（楽しい）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愉快，快乐</t>
    </r>
  </si>
  <si>
    <r>
      <t xml:space="preserve">おもしろい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有趣，有意思</t>
    </r>
  </si>
  <si>
    <r>
      <t xml:space="preserve">つまらない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无聊</t>
    </r>
  </si>
  <si>
    <r>
      <t xml:space="preserve">ひろい（広い）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广阔，宽敞</t>
    </r>
  </si>
  <si>
    <r>
      <t xml:space="preserve">せまい（狭い）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狭窄</t>
    </r>
  </si>
  <si>
    <r>
      <t xml:space="preserve">おおきい（大きい）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大</t>
    </r>
  </si>
  <si>
    <r>
      <t xml:space="preserve">ちいさい（小さい）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小</t>
    </r>
  </si>
  <si>
    <r>
      <t xml:space="preserve">いそがしい（忙しい）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忙，忙碌</t>
    </r>
  </si>
  <si>
    <r>
      <t xml:space="preserve">いい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好</t>
    </r>
  </si>
  <si>
    <r>
      <t xml:space="preserve">わるい（悪い）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不好，坏</t>
    </r>
  </si>
  <si>
    <r>
      <t xml:space="preserve">すばらしい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极好，绝佳</t>
    </r>
  </si>
  <si>
    <r>
      <t xml:space="preserve">とおい（遠い）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远</t>
    </r>
  </si>
  <si>
    <r>
      <t xml:space="preserve">ちかい（近い）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近</t>
    </r>
  </si>
  <si>
    <r>
      <t xml:space="preserve">たかい（高い）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高，贵</t>
    </r>
  </si>
  <si>
    <r>
      <t xml:space="preserve">ひくい（低い）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低</t>
    </r>
  </si>
  <si>
    <r>
      <t xml:space="preserve">やすい（安い）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便宜</t>
    </r>
  </si>
  <si>
    <r>
      <t xml:space="preserve">さむい（寒い）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寒冷</t>
    </r>
  </si>
  <si>
    <r>
      <t xml:space="preserve">あつい（暑い）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（天气）热</t>
    </r>
  </si>
  <si>
    <r>
      <t xml:space="preserve">あおい（青い）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蓝色的</t>
    </r>
  </si>
  <si>
    <r>
      <t xml:space="preserve">しろい（白い）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白色的</t>
    </r>
  </si>
  <si>
    <r>
      <t xml:space="preserve">あたらしい（新しい）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新</t>
    </r>
  </si>
  <si>
    <r>
      <t xml:space="preserve">ふるい（古い）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旧</t>
    </r>
  </si>
  <si>
    <r>
      <t xml:space="preserve">むずかしい（難しい）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难</t>
    </r>
  </si>
  <si>
    <r>
      <t xml:space="preserve">やさしい（易しい）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容易</t>
    </r>
  </si>
  <si>
    <r>
      <t xml:space="preserve">おおい（多い）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多</t>
    </r>
  </si>
  <si>
    <r>
      <t xml:space="preserve">すくない（少ない）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少</t>
    </r>
  </si>
  <si>
    <r>
      <t xml:space="preserve">かわいい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可爱</t>
    </r>
  </si>
  <si>
    <r>
      <t xml:space="preserve">ほんとうに（本当に）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真的，实在是</t>
    </r>
  </si>
  <si>
    <r>
      <t xml:space="preserve">あまり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不（太）～，不很～</t>
    </r>
  </si>
  <si>
    <r>
      <t>とても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たいへん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很，非常</t>
    </r>
  </si>
  <si>
    <r>
      <t>すこし（少し）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ちょっと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一点儿</t>
    </r>
  </si>
  <si>
    <r>
      <t xml:space="preserve">ぜんぜん（全然）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根本（不），全然（不）</t>
    </r>
  </si>
  <si>
    <r>
      <t xml:space="preserve">ちょうど 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正好，恰好</t>
    </r>
  </si>
  <si>
    <r>
      <t>あら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あれ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哎呀，咦</t>
    </r>
  </si>
  <si>
    <r>
      <t xml:space="preserve">ああ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啊</t>
    </r>
  </si>
  <si>
    <r>
      <t xml:space="preserve">てんあんもん（天安門）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天安门</t>
    </r>
  </si>
  <si>
    <r>
      <t>きもちがいい（気持ちがいい）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感觉舒服，心情愉快</t>
    </r>
  </si>
  <si>
    <r>
      <t>もみじ（紅葉）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红叶</t>
    </r>
  </si>
  <si>
    <r>
      <t>こきょう（故郷）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故乡</t>
    </r>
  </si>
  <si>
    <r>
      <t>とおり（通り）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大街</t>
    </r>
  </si>
  <si>
    <r>
      <t>まち（町）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城市，街道</t>
    </r>
  </si>
  <si>
    <r>
      <t>ところ（所）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场所</t>
    </r>
  </si>
  <si>
    <r>
      <t>おみせ（お店）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餐馆；商店</t>
    </r>
  </si>
  <si>
    <r>
      <t>にんぎょう（人形）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玩偶</t>
    </r>
  </si>
  <si>
    <r>
      <t>さくひん（作品）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作品</t>
    </r>
  </si>
  <si>
    <r>
      <t>ちょうこく（彫刻）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雕刻</t>
    </r>
  </si>
  <si>
    <r>
      <t>じどうしゃ（自動車）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汽车</t>
    </r>
  </si>
  <si>
    <r>
      <t>どうぐ（道具）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工具</t>
    </r>
  </si>
  <si>
    <r>
      <t>さかな（魚）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鱼</t>
    </r>
  </si>
  <si>
    <r>
      <t>おかし（お菓子）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点心</t>
    </r>
  </si>
  <si>
    <r>
      <t>もの（物）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物品，东西</t>
    </r>
  </si>
  <si>
    <r>
      <t>シーズン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季节</t>
    </r>
  </si>
  <si>
    <r>
      <t>しゅうがくりょこう（修学旅行）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修学旅行</t>
    </r>
  </si>
  <si>
    <r>
      <t>かんこうきゃく（観光客）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游客</t>
    </r>
  </si>
  <si>
    <r>
      <t>さっか（作家）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作家</t>
    </r>
  </si>
  <si>
    <r>
      <t>ぶちょう（部長）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部长</t>
    </r>
  </si>
  <si>
    <r>
      <t>へいじつ（平日）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平日，非休息日</t>
    </r>
  </si>
  <si>
    <r>
      <t>ひ（日）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日子</t>
    </r>
  </si>
  <si>
    <r>
      <t>せいかつ（生活）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生活</t>
    </r>
  </si>
  <si>
    <r>
      <t>せかい（世界）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世界</t>
    </r>
  </si>
  <si>
    <r>
      <t>はれ（晴れ）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晴天</t>
    </r>
  </si>
  <si>
    <r>
      <t>あめ（雨）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雨，下雨</t>
    </r>
  </si>
  <si>
    <r>
      <t>くもり（曇り）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阴天</t>
    </r>
  </si>
  <si>
    <r>
      <t>ゆき（雪）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雪</t>
    </r>
  </si>
  <si>
    <r>
      <t>きたない（汚い）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脏</t>
    </r>
  </si>
  <si>
    <r>
      <t>きれい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漂亮，干净</t>
    </r>
  </si>
  <si>
    <r>
      <t>ゆうめい（有名）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有名</t>
    </r>
  </si>
  <si>
    <r>
      <t>にぎやか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热闹，繁华</t>
    </r>
  </si>
  <si>
    <r>
      <t>しずか（静か）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安静</t>
    </r>
  </si>
  <si>
    <r>
      <t>ひま（暇）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空闲</t>
    </r>
  </si>
  <si>
    <r>
      <t>しんせつ（親切）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热情</t>
    </r>
  </si>
  <si>
    <r>
      <t>すき（好き）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喜欢</t>
    </r>
  </si>
  <si>
    <r>
      <t>きらい（嫌い）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讨厌</t>
    </r>
  </si>
  <si>
    <r>
      <t>べんり（便利）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方便</t>
    </r>
  </si>
  <si>
    <r>
      <t>ふべん（不便）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不方便</t>
    </r>
  </si>
  <si>
    <r>
      <t>げんき（元気）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健康，有精神</t>
    </r>
  </si>
  <si>
    <r>
      <t>かんたん（簡単）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简单</t>
    </r>
  </si>
  <si>
    <r>
      <t>ハンサム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英俊，帅气</t>
    </r>
  </si>
  <si>
    <r>
      <t>どんな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什么样的，怎样的</t>
    </r>
  </si>
  <si>
    <r>
      <t>どう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</si>
  <si>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いかが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如何</t>
    </r>
  </si>
  <si>
    <r>
      <t>いろいろ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各种各样</t>
    </r>
  </si>
  <si>
    <r>
      <t>でも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可是，不过</t>
    </r>
  </si>
  <si>
    <r>
      <t>そして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而且，于是</t>
    </r>
  </si>
  <si>
    <r>
      <t>ところで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（转换话题）</t>
    </r>
    <r>
      <rPr>
        <b/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</t>
    </r>
  </si>
  <si>
    <r>
      <t>あれえ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咦</t>
    </r>
  </si>
  <si>
    <r>
      <t>なら（奈良）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奈良</t>
    </r>
  </si>
  <si>
    <r>
      <t>ふじさん（富士山）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富士山</t>
    </r>
  </si>
  <si>
    <r>
      <t>もうすこし（もう少し）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再～一点</t>
    </r>
  </si>
  <si>
    <r>
      <t>うた（歌）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歌，歌曲</t>
    </r>
  </si>
  <si>
    <r>
      <t>カラオケ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卡拉</t>
    </r>
    <r>
      <rPr>
        <b/>
        <sz val="10.5"/>
        <color theme="1"/>
        <rFont val="Times New Roman"/>
        <family val="1"/>
      </rPr>
      <t>OK</t>
    </r>
  </si>
  <si>
    <r>
      <t>ロック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摇滚乐</t>
    </r>
  </si>
  <si>
    <r>
      <t>ボブッス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流行音乐</t>
    </r>
  </si>
  <si>
    <r>
      <t>クラシック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西方古典音乐</t>
    </r>
  </si>
  <si>
    <r>
      <t>ピアノ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钢琴</t>
    </r>
  </si>
  <si>
    <r>
      <t>え（絵）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画儿</t>
    </r>
  </si>
  <si>
    <r>
      <t>えいご（英語）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英语</t>
    </r>
  </si>
  <si>
    <r>
      <t>スペインご（～語）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西班牙语</t>
    </r>
  </si>
  <si>
    <r>
      <t>スポーツ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体育，运动</t>
    </r>
  </si>
  <si>
    <r>
      <t>すいえい（水泳）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</t>
    </r>
  </si>
  <si>
    <r>
      <t>ゴルフ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高尔夫球</t>
    </r>
  </si>
  <si>
    <r>
      <t>うんてん（運転）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开车</t>
    </r>
  </si>
  <si>
    <r>
      <t>のみもの（飲み物）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饮料</t>
    </r>
  </si>
  <si>
    <r>
      <t>おさけ（お酒）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酒，酒类</t>
    </r>
  </si>
  <si>
    <r>
      <t>にく（肉）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肉</t>
    </r>
  </si>
  <si>
    <r>
      <t>やさい（野菜）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蔬菜</t>
    </r>
  </si>
  <si>
    <r>
      <t>くだもの（果物）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水果</t>
    </r>
  </si>
  <si>
    <r>
      <t>ヒマワリ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向日葵</t>
    </r>
  </si>
  <si>
    <r>
      <t>バラ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蔷薇，玫瑰</t>
    </r>
  </si>
  <si>
    <r>
      <t>コンピュータ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计算机，电脑</t>
    </r>
  </si>
  <si>
    <r>
      <t>まど（窓）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窗，窗户</t>
    </r>
  </si>
  <si>
    <r>
      <t>けっこんしき（結婚式）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结婚典礼</t>
    </r>
  </si>
  <si>
    <r>
      <t>しゃしんてん（写真展）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摄影展</t>
    </r>
  </si>
  <si>
    <r>
      <t>りょかん（旅館）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旅馆，旅店</t>
    </r>
  </si>
  <si>
    <r>
      <t>べっそう（別荘）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别墅</t>
    </r>
  </si>
  <si>
    <r>
      <t>もよう（模様）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花纹，纹案</t>
    </r>
  </si>
  <si>
    <r>
      <t>がいこく（外国）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外国</t>
    </r>
  </si>
  <si>
    <r>
      <t>かいぎ（会議）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会议</t>
    </r>
  </si>
  <si>
    <r>
      <t>あし（脚）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腿</t>
    </r>
  </si>
  <si>
    <r>
      <t>ぼく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我（男性自称）</t>
    </r>
  </si>
  <si>
    <r>
      <t>わかります（分かります）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懂，明白</t>
    </r>
  </si>
  <si>
    <r>
      <t>まよいます（迷います）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犹豫，难以决定</t>
    </r>
  </si>
  <si>
    <r>
      <t>できます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会；能；完成</t>
    </r>
  </si>
  <si>
    <r>
      <t>しめます（閉めます）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关闭，关门</t>
    </r>
  </si>
  <si>
    <r>
      <t>つかれます（疲れます）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疲倦，疲惫</t>
    </r>
  </si>
  <si>
    <r>
      <t>さんぽします（散歩～）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散步</t>
    </r>
  </si>
  <si>
    <r>
      <t>こわい（怖い）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害怕，恐怖</t>
    </r>
  </si>
  <si>
    <r>
      <t>あかい（赤い）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</t>
    </r>
  </si>
  <si>
    <r>
      <t>いたい（痛い）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疼，疼痛</t>
    </r>
  </si>
  <si>
    <r>
      <t>じょうず（上手）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擅长，高明，水平高</t>
    </r>
  </si>
  <si>
    <r>
      <t>へた（下手）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不高明，水平低</t>
    </r>
  </si>
  <si>
    <r>
      <t>にがて（苦手）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不擅长，不善于</t>
    </r>
  </si>
  <si>
    <r>
      <t>ときどき（時々）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有时，时不时</t>
    </r>
  </si>
  <si>
    <r>
      <t>よく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经常，常常</t>
    </r>
  </si>
  <si>
    <r>
      <t>たまに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偶尔，很少</t>
    </r>
  </si>
  <si>
    <r>
      <t>また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还，再，又</t>
    </r>
  </si>
  <si>
    <r>
      <t>どうして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为什么</t>
    </r>
  </si>
  <si>
    <r>
      <t>だから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ですから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所以，因此</t>
    </r>
  </si>
  <si>
    <r>
      <t>うーん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嗯……，这个……</t>
    </r>
  </si>
  <si>
    <r>
      <t>けっこうです（結構です）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不用，不要</t>
    </r>
  </si>
  <si>
    <r>
      <t>きにいります（気に入ります）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喜欢，中意</t>
    </r>
  </si>
  <si>
    <r>
      <t>きせつ（季節）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季节</t>
    </r>
  </si>
  <si>
    <r>
      <t>ふゆ（冬）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冬天，冬季</t>
    </r>
  </si>
  <si>
    <r>
      <t>はる（春）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春天，春季</t>
    </r>
  </si>
  <si>
    <r>
      <t>にほんりょうり（日本料理）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日式饭菜</t>
    </r>
  </si>
  <si>
    <r>
      <t>すし（寿司）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寿司</t>
    </r>
  </si>
  <si>
    <r>
      <t>ナシ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梨</t>
    </r>
  </si>
  <si>
    <r>
      <t>バナナ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香蕉</t>
    </r>
  </si>
  <si>
    <r>
      <t>ミカン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橘子</t>
    </r>
  </si>
  <si>
    <r>
      <t>しょうちゅう（焼酎）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烧酒</t>
    </r>
  </si>
  <si>
    <r>
      <t>にほんしゅ（日本酒）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日本酒</t>
    </r>
  </si>
  <si>
    <r>
      <t>こうちゃ（紅茶）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红茶</t>
    </r>
  </si>
  <si>
    <r>
      <t>ウーロンちゃ（～茶）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乌龙茶</t>
    </r>
  </si>
  <si>
    <r>
      <t>ジャスミンちゃ（～茶）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茉莉花茶</t>
    </r>
  </si>
  <si>
    <r>
      <t>りょくちゃ（緑茶）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绿茶</t>
    </r>
  </si>
  <si>
    <r>
      <t>ジュース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果汁</t>
    </r>
  </si>
  <si>
    <r>
      <t>にんき（人気）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声望，受欢迎</t>
    </r>
  </si>
  <si>
    <r>
      <t>せき（席）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座位，席位</t>
    </r>
  </si>
  <si>
    <r>
      <t>クラス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班级</t>
    </r>
  </si>
  <si>
    <r>
      <t>しゅるい（種類）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种类</t>
    </r>
  </si>
  <si>
    <r>
      <t>せ（背）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个子</t>
    </r>
  </si>
  <si>
    <r>
      <t>あに（兄）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哥哥，兄长</t>
    </r>
  </si>
  <si>
    <r>
      <t>さいきん（最近）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最近，近来</t>
    </r>
  </si>
  <si>
    <r>
      <t>わかい（若い）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年轻</t>
    </r>
  </si>
  <si>
    <r>
      <t>あたたかい（暖かい）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暖和，温暖</t>
    </r>
  </si>
  <si>
    <r>
      <t>すずしい（涼しい）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凉爽</t>
    </r>
  </si>
  <si>
    <r>
      <t>はやい（速い）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快</t>
    </r>
  </si>
  <si>
    <r>
      <t>だいすき（大好き）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非常喜欢</t>
    </r>
  </si>
  <si>
    <r>
      <t>いちばん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最，第一</t>
    </r>
  </si>
  <si>
    <r>
      <t>ずっと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～得多</t>
    </r>
  </si>
  <si>
    <r>
      <t>やはり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やっぱり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仍然，还是</t>
    </r>
  </si>
  <si>
    <r>
      <t>エベレスト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珠穆朗玛峰</t>
    </r>
  </si>
  <si>
    <r>
      <t>にんきがあります（人気があります）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受欢迎</t>
    </r>
  </si>
  <si>
    <r>
      <t>にもつ（荷物）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包裹</t>
    </r>
  </si>
  <si>
    <r>
      <t>はがき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明信片</t>
    </r>
  </si>
  <si>
    <r>
      <t>きって（切手）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邮票</t>
    </r>
  </si>
  <si>
    <r>
      <t>ひきだし（引き出し）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抽屉</t>
    </r>
  </si>
  <si>
    <r>
      <t>アルバム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相册</t>
    </r>
  </si>
  <si>
    <r>
      <t>タバコ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烟，烟草</t>
    </r>
  </si>
  <si>
    <r>
      <t>まんが（漫画）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漫画</t>
    </r>
  </si>
  <si>
    <r>
      <t>ガレージ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车库，汽车房</t>
    </r>
  </si>
  <si>
    <r>
      <t>しゅうり（修理）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修理</t>
    </r>
  </si>
  <si>
    <r>
      <t>いざかや（居酒屋）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酒馆</t>
    </r>
  </si>
  <si>
    <r>
      <t>なまビール（生～）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生啤</t>
    </r>
  </si>
  <si>
    <r>
      <t>やきとり（焼き鳥）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烤鸡肉串</t>
    </r>
  </si>
  <si>
    <r>
      <t>からあげ（唐揚げ）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炸鸡，油炸食品</t>
    </r>
  </si>
  <si>
    <r>
      <t>にくじゃが（肉じゃが）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土豆炖肉</t>
    </r>
  </si>
  <si>
    <r>
      <t>ボーリング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保龄球</t>
    </r>
  </si>
  <si>
    <r>
      <t>かみ（髪）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头发</t>
    </r>
  </si>
  <si>
    <r>
      <t>ぞう（象）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象，大象</t>
    </r>
  </si>
  <si>
    <r>
      <t>ひる（昼）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白天，中午</t>
    </r>
  </si>
  <si>
    <r>
      <t>ほか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另外，其他</t>
    </r>
  </si>
  <si>
    <r>
      <t>かかります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花费（时间，金钱）</t>
    </r>
  </si>
  <si>
    <r>
      <t>さきます（咲きます）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花开</t>
    </r>
  </si>
  <si>
    <r>
      <t>およぎます（泳ぎます）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</t>
    </r>
  </si>
  <si>
    <r>
      <t>あそびます（遊びます）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玩，玩耍</t>
    </r>
  </si>
  <si>
    <r>
      <t>すいます（吸います）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吸（烟）</t>
    </r>
  </si>
  <si>
    <r>
      <t>きります（切ります）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剪，切，割</t>
    </r>
  </si>
  <si>
    <r>
      <t>だいたい</t>
    </r>
    <r>
      <rPr>
        <sz val="10.5"/>
        <color theme="1"/>
        <rFont val="Times New Roman"/>
        <family val="1"/>
      </rPr>
      <t xml:space="preserve"> 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大约，大概，大体</t>
    </r>
  </si>
  <si>
    <r>
      <t>とりあえず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暂且</t>
    </r>
  </si>
  <si>
    <r>
      <t>どのぐらい∕どれぐらい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多久，多少钱</t>
    </r>
  </si>
  <si>
    <r>
      <t>ふなびん（船便）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海运</t>
    </r>
  </si>
  <si>
    <r>
      <t>しょるい（書類）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文件，文稿</t>
    </r>
  </si>
  <si>
    <r>
      <t>げんこう（原稿）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稿子，原稿</t>
    </r>
  </si>
  <si>
    <r>
      <t>きじ（記事）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报道</t>
    </r>
  </si>
  <si>
    <r>
      <t>メモ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记录</t>
    </r>
  </si>
  <si>
    <r>
      <t>えきまえ（駅前）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车站一带</t>
    </r>
  </si>
  <si>
    <r>
      <t>はし（橋）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桥，桥梁</t>
    </r>
  </si>
  <si>
    <r>
      <t>かど（角）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拐角</t>
    </r>
  </si>
  <si>
    <r>
      <t>おうだんほどう（横断歩道）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人行横道</t>
    </r>
  </si>
  <si>
    <r>
      <t>みぎ（右）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右，右边</t>
    </r>
  </si>
  <si>
    <r>
      <t>ひだり（左）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左，左边</t>
    </r>
  </si>
  <si>
    <r>
      <t>こうさてん（交差点）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十字路口</t>
    </r>
  </si>
  <si>
    <r>
      <t>みち（道）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路，道路</t>
    </r>
  </si>
  <si>
    <r>
      <t>ドア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门</t>
    </r>
  </si>
  <si>
    <r>
      <t>でんき（電気）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电，电力</t>
    </r>
  </si>
  <si>
    <r>
      <t>たいきょくけん（太極拳）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太极拳</t>
    </r>
  </si>
  <si>
    <r>
      <t>あさごはん（朝ご飯）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早饭</t>
    </r>
  </si>
  <si>
    <r>
      <t>ばんごはん（晩ご飯）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晚饭</t>
    </r>
  </si>
  <si>
    <r>
      <t>バーベキュー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户外烧烤</t>
    </r>
  </si>
  <si>
    <r>
      <t>とおります（通ります）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通过，经过</t>
    </r>
  </si>
  <si>
    <r>
      <t>いそぎます（急ぎます）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急，急忙</t>
    </r>
  </si>
  <si>
    <r>
      <t>とびます（飛びます）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飞，飞行</t>
    </r>
  </si>
  <si>
    <r>
      <t>しにます（死にます）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死，死亡</t>
    </r>
  </si>
  <si>
    <r>
      <t>まちます（待ちます）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等待，等候</t>
    </r>
  </si>
  <si>
    <r>
      <t>うります（売ります）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卖，销售</t>
    </r>
  </si>
  <si>
    <r>
      <t>はなします（話します）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说话，说</t>
    </r>
  </si>
  <si>
    <r>
      <t>おろします（下ろします）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取，卸货</t>
    </r>
  </si>
  <si>
    <r>
      <t>えらびます（選びます）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挑选，选择</t>
    </r>
  </si>
  <si>
    <r>
      <t>あるきます（歩きます）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步行，行走</t>
    </r>
  </si>
  <si>
    <r>
      <t>まがります（曲がります）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拐弯，曲折</t>
    </r>
  </si>
  <si>
    <r>
      <t>あらいます（洗います）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洗，洗涤</t>
    </r>
  </si>
  <si>
    <r>
      <t>でます（出ます）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离开</t>
    </r>
  </si>
  <si>
    <r>
      <t>でかけます（出かけます）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外出，出门</t>
    </r>
  </si>
  <si>
    <r>
      <t>あけます（開けます）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开，打开，开启</t>
    </r>
  </si>
  <si>
    <r>
      <t>すぎます（過ぎます）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</t>
    </r>
  </si>
  <si>
    <r>
      <t>みせます（見せます）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给～看；出示</t>
    </r>
  </si>
  <si>
    <r>
      <t>つけます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开（灯）</t>
    </r>
  </si>
  <si>
    <r>
      <t>おります（降ります）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下（车，山）</t>
    </r>
  </si>
  <si>
    <r>
      <t>かいものします（買い物～）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买东西</t>
    </r>
  </si>
  <si>
    <r>
      <t>そつぎょうします（卒業～）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毕业</t>
    </r>
  </si>
  <si>
    <r>
      <t>しょくじします（食事～）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吃饭，用餐</t>
    </r>
  </si>
  <si>
    <r>
      <t>せいりします（整理～）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整理</t>
    </r>
  </si>
  <si>
    <r>
      <t>コピーします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复印</t>
    </r>
  </si>
  <si>
    <r>
      <t>くらい（暗い）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黑暗，昏暗</t>
    </r>
  </si>
  <si>
    <r>
      <t>たいへん（大変）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够受的，不得了</t>
    </r>
  </si>
  <si>
    <r>
      <t>なかなか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相当，很，非常</t>
    </r>
  </si>
  <si>
    <r>
      <t>こう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这样，如此</t>
    </r>
  </si>
  <si>
    <r>
      <t>そう∕ああ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那样</t>
    </r>
  </si>
  <si>
    <r>
      <t>あとで（後で）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过会儿</t>
    </r>
  </si>
  <si>
    <r>
      <t>それから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然后</t>
    </r>
  </si>
  <si>
    <r>
      <t>すみませんが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对不起……，劳驾……</t>
    </r>
  </si>
  <si>
    <r>
      <t>ボート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小船，小艇</t>
    </r>
  </si>
  <si>
    <r>
      <t>ベンチ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长椅，长凳</t>
    </r>
  </si>
  <si>
    <r>
      <t>しやくしょ（市役所）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市政府</t>
    </r>
  </si>
  <si>
    <r>
      <t>けいたいでんわ（携帯電話）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手机</t>
    </r>
  </si>
  <si>
    <r>
      <t>きんえん（禁煙）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禁止吸烟</t>
    </r>
  </si>
  <si>
    <r>
      <t>かぜ（風邪）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感冒</t>
    </r>
  </si>
  <si>
    <r>
      <t>ねつ（熱）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发烧，体温</t>
    </r>
  </si>
  <si>
    <r>
      <t>すいみん（睡眠）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睡眠</t>
    </r>
  </si>
  <si>
    <r>
      <t>おふろ（お風呂）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澡堂，浴室</t>
    </r>
  </si>
  <si>
    <r>
      <t>やっきょく（薬局）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药店</t>
    </r>
  </si>
  <si>
    <r>
      <t>クーラー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空调</t>
    </r>
  </si>
  <si>
    <r>
      <t>ひ（火）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火</t>
    </r>
  </si>
  <si>
    <r>
      <t>き（気）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精神，意识</t>
    </r>
  </si>
  <si>
    <r>
      <t>むり（無理）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勉强，难以办到</t>
    </r>
  </si>
  <si>
    <r>
      <t>ちゅうしゃきんし（駐車禁止）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禁止停车</t>
    </r>
  </si>
  <si>
    <r>
      <t>たちいりきんし（立入禁止）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禁止进入</t>
    </r>
  </si>
  <si>
    <r>
      <t>かきげんきん（火気厳禁）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严禁烟火</t>
    </r>
  </si>
  <si>
    <r>
      <t>さつえいきんし（撮影禁止）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禁止拍照</t>
    </r>
  </si>
  <si>
    <r>
      <t>のります（乗ります）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乘坐，乘</t>
    </r>
  </si>
  <si>
    <r>
      <t>つかいます（使います）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用，使用</t>
    </r>
  </si>
  <si>
    <r>
      <t>すわります（座ります）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坐，落座</t>
    </r>
  </si>
  <si>
    <r>
      <t>はいります（入ります）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进入，加入</t>
    </r>
  </si>
  <si>
    <r>
      <t>もうします（申します）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是，说，讲，告诉</t>
    </r>
  </si>
  <si>
    <r>
      <t>とります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取，取得</t>
    </r>
  </si>
  <si>
    <r>
      <t>うたいます（歌います）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唱，歌唱</t>
    </r>
  </si>
  <si>
    <r>
      <t>つたえます（伝えます）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说，传达，转告</t>
    </r>
  </si>
  <si>
    <r>
      <t>とめます（止めます）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停，制止</t>
    </r>
  </si>
  <si>
    <r>
      <t>あたたかい（暖かい）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热乎，温暖</t>
    </r>
  </si>
  <si>
    <r>
      <t>だいじょうぶ（大丈夫）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没关系，放心</t>
    </r>
  </si>
  <si>
    <r>
      <t>だめ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不行，不可以</t>
    </r>
  </si>
  <si>
    <r>
      <t>じゅうぶん（十分）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好好地，充足地</t>
    </r>
  </si>
  <si>
    <r>
      <t>もちろん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当然，不用说</t>
    </r>
  </si>
  <si>
    <r>
      <t>ゆっくり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好好地，安静地</t>
    </r>
  </si>
  <si>
    <r>
      <t>もしもし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喂</t>
    </r>
  </si>
  <si>
    <r>
      <t>いえ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不，不是</t>
    </r>
  </si>
  <si>
    <r>
      <t>おだいじに（お大事に）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请多保重</t>
    </r>
  </si>
  <si>
    <r>
      <t>いけません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不行，不可以</t>
    </r>
  </si>
  <si>
    <r>
      <t>かまいません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没关系，不要紧</t>
    </r>
  </si>
  <si>
    <r>
      <t>まだです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还没有，仍然……没有</t>
    </r>
  </si>
  <si>
    <r>
      <t>きをつけます（気をつけます）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注意</t>
    </r>
  </si>
  <si>
    <r>
      <t>むりをします（無理をします）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勉强</t>
    </r>
  </si>
  <si>
    <r>
      <t>すいみんをとります（睡眠をとります）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睡觉</t>
    </r>
  </si>
  <si>
    <r>
      <t>おふろにはいります（お風呂にはいります）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洗澡</t>
    </r>
  </si>
  <si>
    <r>
      <t>そうさ（操作）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操作，操纵</t>
    </r>
  </si>
  <si>
    <r>
      <t>きかい（機械）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机械，机器</t>
    </r>
  </si>
  <si>
    <r>
      <t>りょこうがいしゃ（旅行会社）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旅行社</t>
    </r>
  </si>
  <si>
    <r>
      <t>こうくうがいしゃ（航空会社）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航空公司</t>
    </r>
  </si>
  <si>
    <r>
      <t>えいぎょうぶ（営業部）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营业部</t>
    </r>
  </si>
  <si>
    <r>
      <t>せいひん（製品）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产品</t>
    </r>
  </si>
  <si>
    <r>
      <t>けんちくか（建築家）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建筑师</t>
    </r>
  </si>
  <si>
    <r>
      <t>せっけい（設計）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</t>
    </r>
  </si>
  <si>
    <r>
      <t>デザイン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设计（图），（制作）图案</t>
    </r>
  </si>
  <si>
    <r>
      <t>かたち（形）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造型，形状，形式</t>
    </r>
  </si>
  <si>
    <r>
      <t>さいしん（最新）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最新</t>
    </r>
  </si>
  <si>
    <r>
      <t>ネクタイ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领带</t>
    </r>
  </si>
  <si>
    <r>
      <t>さいふ（財布）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钱包</t>
    </r>
  </si>
  <si>
    <r>
      <t>かわ（革）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革，皮革</t>
    </r>
  </si>
  <si>
    <r>
      <t>ぬの（布）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布，布匹</t>
    </r>
  </si>
  <si>
    <r>
      <t>すいとう（水筒）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水壶，水筒</t>
    </r>
  </si>
  <si>
    <r>
      <t>みどり（緑）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绿，绿色</t>
    </r>
  </si>
  <si>
    <r>
      <t>あし（足）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脚</t>
    </r>
  </si>
  <si>
    <r>
      <t>ゆび（指）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手指，指头</t>
    </r>
  </si>
  <si>
    <r>
      <t>め（目）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眼，眼睛</t>
    </r>
  </si>
  <si>
    <r>
      <t>はな（鼻）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鼻，鼻子</t>
    </r>
  </si>
  <si>
    <r>
      <t>かお（顔）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脸，颜面</t>
    </r>
  </si>
  <si>
    <r>
      <t>あたま（頭）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头，头脑</t>
    </r>
  </si>
  <si>
    <r>
      <t>アイディーカード（ＩＤ～）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身份证件</t>
    </r>
  </si>
  <si>
    <r>
      <t>まちがい（間違い）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错误，失误</t>
    </r>
  </si>
  <si>
    <r>
      <t>もんだい（問題）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问题</t>
    </r>
  </si>
  <si>
    <r>
      <t>こうこく（広告）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广告</t>
    </r>
  </si>
  <si>
    <r>
      <t>かんばん（看板）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牌子</t>
    </r>
  </si>
  <si>
    <r>
      <t>てんじじょう（展示場）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展览会场</t>
    </r>
  </si>
  <si>
    <r>
      <t>サービス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服务</t>
    </r>
  </si>
  <si>
    <r>
      <t>てんじょう（天井）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天棚</t>
    </r>
  </si>
  <si>
    <r>
      <t>けいび（警備）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戒备，警备</t>
    </r>
  </si>
  <si>
    <r>
      <t>クリスマスシリー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圣诞树</t>
    </r>
  </si>
  <si>
    <r>
      <t>オーストラリアじん（～人）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澳大利亚人</t>
    </r>
  </si>
  <si>
    <r>
      <t>みなさん（皆さん）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大家，诸位</t>
    </r>
  </si>
  <si>
    <r>
      <t>こ（子）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孩子</t>
    </r>
  </si>
  <si>
    <r>
      <t>よこ（横）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旁边，侧面</t>
    </r>
  </si>
  <si>
    <r>
      <t>もちます（持ちます）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有，拥有，持有</t>
    </r>
  </si>
  <si>
    <r>
      <t>すみます（住みます）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住，居住</t>
    </r>
  </si>
  <si>
    <r>
      <t>しります（知ります）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认识，知道，了解</t>
    </r>
  </si>
  <si>
    <r>
      <t>なおします（直します）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改，修改，改正</t>
    </r>
  </si>
  <si>
    <r>
      <t>かたづけます（片づけます）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收拾，整理</t>
    </r>
  </si>
  <si>
    <r>
      <t>れんしゅうします（練習～）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练习</t>
    </r>
  </si>
  <si>
    <r>
      <t>けっこんします（結婚～）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结婚</t>
    </r>
  </si>
  <si>
    <r>
      <t>あんしんします（安心～）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安心，放心</t>
    </r>
  </si>
  <si>
    <r>
      <t>あかるい（明るい）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明亮，开朗</t>
    </r>
  </si>
  <si>
    <r>
      <t>ながい（長い）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长，长久，长远</t>
    </r>
  </si>
  <si>
    <r>
      <t>みじかい（短い）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短，短暂</t>
    </r>
  </si>
  <si>
    <r>
      <t>かるい（軽い）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轻巧，轻，轻松，轻微</t>
    </r>
  </si>
  <si>
    <r>
      <t>やさしい（優しい）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和蔼，温和，体贴</t>
    </r>
  </si>
  <si>
    <r>
      <t>ほそい（細い）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小，细长，纤细</t>
    </r>
  </si>
  <si>
    <r>
      <t>ふとい（太い）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粗，胖</t>
    </r>
  </si>
  <si>
    <r>
      <t>くろい（黒い）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黑，黑色</t>
    </r>
  </si>
  <si>
    <r>
      <t>ユニーク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独特，唯一</t>
    </r>
  </si>
  <si>
    <r>
      <t>あんぜん（安全）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安全</t>
    </r>
  </si>
  <si>
    <r>
      <t>はで（派手）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耀眼，花哨</t>
    </r>
  </si>
  <si>
    <r>
      <t>じみ（地味）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朴素，质朴</t>
    </r>
  </si>
  <si>
    <r>
      <t>げんじゅう（厳重）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森严；严格</t>
    </r>
  </si>
  <si>
    <r>
      <t>まじめ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认真；严肃</t>
    </r>
  </si>
  <si>
    <r>
      <t>たいせつ（大切）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重要，珍贵</t>
    </r>
  </si>
  <si>
    <r>
      <t>ふくざつ（複雑）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复杂，繁杂</t>
    </r>
  </si>
  <si>
    <r>
      <t>ちゃんと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好好地，的确，完全</t>
    </r>
  </si>
  <si>
    <r>
      <t>すぐ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马上，立即</t>
    </r>
  </si>
  <si>
    <r>
      <t>ずいぶん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相当，非常，很</t>
    </r>
  </si>
  <si>
    <r>
      <t>ほら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你看，瞧，喂</t>
    </r>
  </si>
  <si>
    <r>
      <t>にっちゅうでんき（日中電気）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日中电器</t>
    </r>
  </si>
  <si>
    <r>
      <t>あたまがいい（頭がいい）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脑子好，聪明</t>
    </r>
  </si>
  <si>
    <r>
      <t>ようふく（洋服）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西服</t>
    </r>
  </si>
  <si>
    <r>
      <t>セーター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毛衣</t>
    </r>
  </si>
  <si>
    <r>
      <t>ノートパソコン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笔记本电脑</t>
    </r>
  </si>
  <si>
    <r>
      <t>バイク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摩托车</t>
    </r>
  </si>
  <si>
    <r>
      <t>おしるこ（お汁粉）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年糕小豆汤</t>
    </r>
  </si>
  <si>
    <r>
      <t>てんぷら（天ぷら）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天麸罗</t>
    </r>
  </si>
  <si>
    <r>
      <t>はつもうで（初詣）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新年后首次参拜</t>
    </r>
  </si>
  <si>
    <r>
      <t>けんこう（健康）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健康</t>
    </r>
  </si>
  <si>
    <r>
      <t>れんあい（恋愛）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恋爱</t>
    </r>
  </si>
  <si>
    <r>
      <t>ドラマ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连续剧</t>
    </r>
  </si>
  <si>
    <r>
      <t>あいて（相手）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对象，对方</t>
    </r>
  </si>
  <si>
    <r>
      <t>こいびと（恋人）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恋人</t>
    </r>
  </si>
  <si>
    <r>
      <t>せんぱい（先輩）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前辈</t>
    </r>
  </si>
  <si>
    <r>
      <t>だんせい（男性）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男性</t>
    </r>
  </si>
  <si>
    <r>
      <t>がいこくじん（外国人）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外国人</t>
    </r>
  </si>
  <si>
    <r>
      <t>なつ（夏）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夏天</t>
    </r>
  </si>
  <si>
    <r>
      <t>はじめます（始めます）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开始</t>
    </r>
  </si>
  <si>
    <r>
      <t>れんらくしあす（連絡～）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联系</t>
    </r>
  </si>
  <si>
    <r>
      <t>ほしい（欲しい）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想要</t>
    </r>
  </si>
  <si>
    <r>
      <t>りっぱ（立派）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美观，杰出</t>
    </r>
  </si>
  <si>
    <r>
      <t>こんど（今度）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下次；这回</t>
    </r>
  </si>
  <si>
    <r>
      <t>ぜひ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一定</t>
    </r>
  </si>
  <si>
    <r>
      <t>そろそろ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快要</t>
    </r>
  </si>
  <si>
    <r>
      <t>まず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先，首先</t>
    </r>
  </si>
  <si>
    <r>
      <t>ベートーベン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贝多芬</t>
    </r>
  </si>
  <si>
    <r>
      <t>ショパン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肖邦</t>
    </r>
  </si>
  <si>
    <r>
      <t>こきゅう（故宮）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故宫</t>
    </r>
  </si>
  <si>
    <r>
      <t>ヨーロッパ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欧洲</t>
    </r>
  </si>
  <si>
    <r>
      <t>ホンコン（香港）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香港</t>
    </r>
  </si>
  <si>
    <r>
      <t>スイス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瑞士</t>
    </r>
  </si>
  <si>
    <r>
      <t>おと（音）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声音，响声</t>
    </r>
  </si>
  <si>
    <r>
      <t>こえ（声）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声音</t>
    </r>
  </si>
  <si>
    <r>
      <t>くうき（空気）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空气</t>
    </r>
  </si>
  <si>
    <r>
      <t>むすこ（息子）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儿子</t>
    </r>
  </si>
  <si>
    <r>
      <t>いしゃ（医者）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医生</t>
    </r>
  </si>
  <si>
    <r>
      <t>おじょうさん（お嬢さん）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令爱</t>
    </r>
  </si>
  <si>
    <r>
      <t>しゃかいじん（社会人）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社会的一员，成人</t>
    </r>
  </si>
  <si>
    <r>
      <t>りょこうガイド（旅行～）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旅行导游</t>
    </r>
  </si>
  <si>
    <r>
      <t>がくしゃ（学者）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学者</t>
    </r>
  </si>
  <si>
    <r>
      <t>パイロット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飞行员</t>
    </r>
  </si>
  <si>
    <r>
      <t>デザイナー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设计者，设计家</t>
    </r>
  </si>
  <si>
    <r>
      <t>タイムサービス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时段廉价销售</t>
    </r>
  </si>
  <si>
    <r>
      <t>しんしゅんセール（新春～）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新年大甩卖</t>
    </r>
  </si>
  <si>
    <r>
      <t>さんわりびき（３割引）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七折</t>
    </r>
  </si>
  <si>
    <r>
      <t>でいか（定価）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定价</t>
    </r>
  </si>
  <si>
    <r>
      <t>はんがく（半額）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半价</t>
    </r>
  </si>
  <si>
    <r>
      <t>ねだん（値段）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价格</t>
    </r>
  </si>
  <si>
    <r>
      <t>シャツ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衬衫</t>
    </r>
  </si>
  <si>
    <r>
      <t>スカート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裙子</t>
    </r>
  </si>
  <si>
    <r>
      <t>いろ（色）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颜色</t>
    </r>
  </si>
  <si>
    <r>
      <t>あか（赤）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红色</t>
    </r>
  </si>
  <si>
    <r>
      <t>あお（青）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蓝色</t>
    </r>
  </si>
  <si>
    <r>
      <t>おしょうがつ（お正月）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过年，新年</t>
    </r>
  </si>
  <si>
    <r>
      <t>じかん（時間）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</t>
    </r>
  </si>
  <si>
    <r>
      <t>しょうらい（将来）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将来</t>
    </r>
  </si>
  <si>
    <r>
      <t>じゅんび（準備）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准备</t>
    </r>
  </si>
  <si>
    <r>
      <t>びょうき（病気）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疾病</t>
    </r>
  </si>
  <si>
    <r>
      <t>なります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变，当，变成，成为</t>
    </r>
  </si>
  <si>
    <r>
      <t>あきます（開きます）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</t>
    </r>
  </si>
  <si>
    <r>
      <t>にあいます（似合います）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适合，相称</t>
    </r>
  </si>
  <si>
    <r>
      <t>うるさい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闹，使人心烦</t>
    </r>
  </si>
  <si>
    <r>
      <t>シンプル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单纯，简洁</t>
    </r>
  </si>
  <si>
    <r>
      <t>まもなく（間もなく）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马上，一会儿，不久</t>
    </r>
  </si>
  <si>
    <r>
      <t>さらに∕もっと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更加，更</t>
    </r>
  </si>
  <si>
    <r>
      <t>さあ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啊，喂</t>
    </r>
  </si>
  <si>
    <r>
      <t>でくるだけ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尽量，尽可能</t>
    </r>
  </si>
  <si>
    <r>
      <t>まとめて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一下子，一起，汇总，汇集</t>
    </r>
  </si>
  <si>
    <r>
      <t>いまから（今から）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从现在起</t>
    </r>
  </si>
  <si>
    <r>
      <t>しなもの（品物）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物品，商品</t>
    </r>
  </si>
  <si>
    <r>
      <t>おさら（お皿）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盘子</t>
    </r>
  </si>
  <si>
    <r>
      <t>ごみ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垃圾</t>
    </r>
  </si>
  <si>
    <r>
      <t>しょしんしゃ（初心者）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初学者</t>
    </r>
  </si>
  <si>
    <r>
      <t>じょうきゅうしゃ（上級者）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熟练者</t>
    </r>
  </si>
  <si>
    <r>
      <t>こうきゅう（高級）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高级</t>
    </r>
  </si>
  <si>
    <r>
      <t>じょうきゅうクラス（上級～）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高级班</t>
    </r>
  </si>
  <si>
    <r>
      <t>えいかいわ（英会話）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英语会话</t>
    </r>
  </si>
  <si>
    <r>
      <t>コース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路线，滑道</t>
    </r>
  </si>
  <si>
    <r>
      <t>スキー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滑雪</t>
    </r>
  </si>
  <si>
    <r>
      <t>レポート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报告</t>
    </r>
  </si>
  <si>
    <r>
      <t>パスポート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护照</t>
    </r>
  </si>
  <si>
    <r>
      <t>のど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喉咙</t>
    </r>
  </si>
  <si>
    <r>
      <t>さわります（触ります）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碰，触</t>
    </r>
  </si>
  <si>
    <r>
      <t>ぬぎます（脱ぎます）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脱</t>
    </r>
  </si>
  <si>
    <r>
      <t>ころびます（転びます）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摔，摔倒，跌倒</t>
    </r>
  </si>
  <si>
    <r>
      <t>かわきます（渇きます）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渴</t>
    </r>
  </si>
  <si>
    <r>
      <t>なおります（治ります）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痊愈，医好</t>
    </r>
  </si>
  <si>
    <r>
      <t>すべります（滑ります）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滑，滑行</t>
    </r>
  </si>
  <si>
    <r>
      <t>よびます（呼びます）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呼喊</t>
    </r>
  </si>
  <si>
    <r>
      <t>かえします（返します）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归还</t>
    </r>
  </si>
  <si>
    <r>
      <t>てつだいます（手伝います）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帮忙</t>
    </r>
  </si>
  <si>
    <r>
      <t>はこびます（運びます）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搬运</t>
    </r>
  </si>
  <si>
    <r>
      <t>なくします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丢，丢失</t>
    </r>
  </si>
  <si>
    <r>
      <t>おとします（落とします）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掉，使落下</t>
    </r>
  </si>
  <si>
    <r>
      <t>おきます（置きます）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放置</t>
    </r>
  </si>
  <si>
    <r>
      <t>はらいます（払います）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支付</t>
    </r>
  </si>
  <si>
    <r>
      <t>たちます（立ちます）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站，立</t>
    </r>
  </si>
  <si>
    <r>
      <t>わすれます（忘れます）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忘记</t>
    </r>
  </si>
  <si>
    <r>
      <t>あわてます（慌てます）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慌张，惊慌，着急</t>
    </r>
  </si>
  <si>
    <r>
      <t>すてます（捨てます）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扔，扔掉</t>
    </r>
  </si>
  <si>
    <r>
      <t>ざんぎょうします（残業～）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加班</t>
    </r>
  </si>
  <si>
    <r>
      <t>しんぱいします（心配～）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担心</t>
    </r>
  </si>
  <si>
    <r>
      <t>ほんとう（本当）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真的，真正</t>
    </r>
  </si>
  <si>
    <r>
      <t>はやく（早く）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早点儿</t>
    </r>
  </si>
  <si>
    <r>
      <t>やっと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好不容易，终于</t>
    </r>
  </si>
  <si>
    <r>
      <t>だいぶ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很，相当地</t>
    </r>
  </si>
  <si>
    <r>
      <t>はじめて（初めて）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第一次</t>
    </r>
  </si>
  <si>
    <r>
      <t>さきに（先に）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先</t>
    </r>
  </si>
  <si>
    <r>
      <t>やまだ（山田）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山田</t>
    </r>
  </si>
  <si>
    <r>
      <t>しゅみ（趣味）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爱好</t>
    </r>
  </si>
  <si>
    <r>
      <t>とくぎ（特技）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特长，拿手的技术</t>
    </r>
  </si>
  <si>
    <r>
      <t>きょうみ（興味）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兴趣</t>
    </r>
  </si>
  <si>
    <r>
      <t>ゆめ（夢）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梦，理想</t>
    </r>
  </si>
  <si>
    <r>
      <t>ギター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吉他</t>
    </r>
  </si>
  <si>
    <r>
      <t>こきゅう（胡弓）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胡琴</t>
    </r>
  </si>
  <si>
    <r>
      <t>しょどう（書道）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书法</t>
    </r>
  </si>
  <si>
    <r>
      <t>つり（釣り）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钓鱼</t>
    </r>
  </si>
  <si>
    <r>
      <t>ドライブ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兜风，开汽车远游</t>
    </r>
  </si>
  <si>
    <r>
      <t>あみもの（編み物）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编制；编织品</t>
    </r>
  </si>
  <si>
    <r>
      <t>てづくり（手作り）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手工做，自己做，手制</t>
    </r>
  </si>
  <si>
    <r>
      <t>ちゅうかがい（中華街）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中华街</t>
    </r>
  </si>
  <si>
    <r>
      <t>ちゅうかりょうり（中華料理）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中国菜</t>
    </r>
  </si>
  <si>
    <r>
      <t>ギョーザ（餃子）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饺子</t>
    </r>
  </si>
  <si>
    <r>
      <t>かわ（皮）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皮</t>
    </r>
  </si>
  <si>
    <r>
      <t>しゅんせつ（春節）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春节</t>
    </r>
  </si>
  <si>
    <r>
      <t>ししまい（獅子舞）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狮子舞</t>
    </r>
  </si>
  <si>
    <r>
      <t>りょう（寮）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宿舍</t>
    </r>
  </si>
  <si>
    <r>
      <t>せんたくき（洗濯機）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洗衣机</t>
    </r>
  </si>
  <si>
    <r>
      <t>シャワー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淋浴</t>
    </r>
  </si>
  <si>
    <r>
      <t>おなか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肚子</t>
    </r>
  </si>
  <si>
    <r>
      <t>じゅぎょう（授業）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授课，上课</t>
    </r>
  </si>
  <si>
    <r>
      <t>しりょう（資料）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资料</t>
    </r>
  </si>
  <si>
    <r>
      <t>フランスご（～語）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法语</t>
    </r>
  </si>
  <si>
    <r>
      <t>しょうせつ（小説）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小说</t>
    </r>
  </si>
  <si>
    <r>
      <t>かいがん（海岸）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海岸</t>
    </r>
  </si>
  <si>
    <r>
      <t>ふゆやすみ（冬休み）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寒假</t>
    </r>
  </si>
  <si>
    <r>
      <t>キャンプ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野营</t>
    </r>
  </si>
  <si>
    <r>
      <t>みんな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大家</t>
    </r>
  </si>
  <si>
    <r>
      <t>じぶん（自分）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自己</t>
    </r>
  </si>
  <si>
    <r>
      <t>ぜんいん（全員）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全员</t>
    </r>
  </si>
  <si>
    <r>
      <t>ひきます（弾きます）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弹</t>
    </r>
  </si>
  <si>
    <r>
      <t>すきます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（肚子）饿，空</t>
    </r>
  </si>
  <si>
    <r>
      <t>のぼります（登ります）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登，上</t>
    </r>
  </si>
  <si>
    <r>
      <t>あつめます（集めます）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收集</t>
    </r>
  </si>
  <si>
    <r>
      <t>あびます（浴びます）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淋；浇</t>
    </r>
  </si>
  <si>
    <r>
      <t>ごちそうします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请客，摆盛宴</t>
    </r>
  </si>
  <si>
    <r>
      <t>きこくします（帰国～）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回国</t>
    </r>
  </si>
  <si>
    <r>
      <t>とくに（特に）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特别</t>
    </r>
  </si>
  <si>
    <r>
      <t>おなかがすきます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肚子饿</t>
    </r>
  </si>
  <si>
    <r>
      <t>ことば（言葉）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语言</t>
    </r>
  </si>
  <si>
    <r>
      <t>メールアドレス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邮件地址</t>
    </r>
  </si>
  <si>
    <r>
      <t>れんきゅう（連休）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连休</t>
    </r>
  </si>
  <si>
    <r>
      <t>ゴールデンウィーク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黄金周</t>
    </r>
  </si>
  <si>
    <r>
      <t>おわり（終わり）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结束</t>
    </r>
  </si>
  <si>
    <r>
      <t>きゅうけいじかん（休憩時間）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休息时间</t>
    </r>
  </si>
  <si>
    <r>
      <t>きょうげき（京劇）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京剧</t>
    </r>
  </si>
  <si>
    <r>
      <t>きっぷ（切符）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票（券）</t>
    </r>
  </si>
  <si>
    <r>
      <t>からだ（体）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身体</t>
    </r>
  </si>
  <si>
    <r>
      <t>じしん（地震）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地震</t>
    </r>
  </si>
  <si>
    <r>
      <t>どろぼう（泥棒）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小偷，盗贼</t>
    </r>
  </si>
  <si>
    <r>
      <t>ちゅうしゃじょう（駐車場）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停车场</t>
    </r>
  </si>
  <si>
    <r>
      <t>わたします（渡します）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交给</t>
    </r>
  </si>
  <si>
    <r>
      <t>おくれます（遅れます）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迟到</t>
    </r>
  </si>
  <si>
    <r>
      <t>かんがえます（考えます）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考虑</t>
    </r>
  </si>
  <si>
    <r>
      <t>しらべます（調べます）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调查</t>
    </r>
  </si>
  <si>
    <r>
      <t>きます（着ます）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穿</t>
    </r>
  </si>
  <si>
    <r>
      <t>よやくします（予約～）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预约</t>
    </r>
  </si>
  <si>
    <r>
      <t>かんしゃします（感謝～）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感谢</t>
    </r>
  </si>
  <si>
    <r>
      <t>うんどうします（運動～）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运动</t>
    </r>
  </si>
  <si>
    <r>
      <t>せんたくします（洗濯～）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洗涤，洗</t>
    </r>
  </si>
  <si>
    <r>
      <t>ほうこくします（報告～）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报告</t>
    </r>
  </si>
  <si>
    <r>
      <t>あぶない（危ない）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危险</t>
    </r>
  </si>
  <si>
    <r>
      <t>これとも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还是，或者</t>
    </r>
  </si>
  <si>
    <r>
      <t>とうきょうタワー（東京～）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东京塔</t>
    </r>
  </si>
  <si>
    <r>
      <t>そんなに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那么</t>
    </r>
  </si>
  <si>
    <r>
      <t>スキーじょう（～場）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滑雪场</t>
    </r>
  </si>
  <si>
    <r>
      <t>そうべつかい（送別会）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欢送会</t>
    </r>
  </si>
  <si>
    <r>
      <t>つごう（都合）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方便；情况</t>
    </r>
  </si>
  <si>
    <r>
      <t>よてい（予定）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预约</t>
    </r>
  </si>
  <si>
    <r>
      <t>おもちゃ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玩具</t>
    </r>
  </si>
  <si>
    <r>
      <t>かじ（火事）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火灾</t>
    </r>
  </si>
  <si>
    <r>
      <t>きかん（期間）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时间，期间</t>
    </r>
  </si>
  <si>
    <r>
      <t>てんきん（転勤）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调动工作</t>
    </r>
  </si>
  <si>
    <r>
      <t>けいたい（携帯）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手机</t>
    </r>
  </si>
  <si>
    <r>
      <t>バドミントン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羽毛球</t>
    </r>
  </si>
  <si>
    <r>
      <t>ラケット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球拍</t>
    </r>
  </si>
  <si>
    <r>
      <t>おくさん（奥さん）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夫人，（别人的）爱人</t>
    </r>
  </si>
  <si>
    <r>
      <t>かしゅ（歌手）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歌手</t>
    </r>
  </si>
  <si>
    <r>
      <t>だいとうりょう（大統領）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总统</t>
    </r>
  </si>
  <si>
    <r>
      <t>やります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做</t>
    </r>
  </si>
  <si>
    <r>
      <t>うれしい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高兴</t>
    </r>
  </si>
  <si>
    <r>
      <t>ねむい（眠い）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困倦</t>
    </r>
  </si>
  <si>
    <r>
      <t>おもい（重い）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重，沉重</t>
    </r>
  </si>
  <si>
    <r>
      <t>きゅう（急）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突然；紧急</t>
    </r>
  </si>
  <si>
    <r>
      <t>まあまあ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大致，还算</t>
    </r>
  </si>
  <si>
    <r>
      <t>ごめん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抱歉，请原谅</t>
    </r>
  </si>
  <si>
    <r>
      <t>ううん∕いや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</t>
    </r>
  </si>
  <si>
    <r>
      <t>うん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嗯</t>
    </r>
  </si>
  <si>
    <r>
      <t>しみず（清水）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清水</t>
    </r>
  </si>
  <si>
    <r>
      <t>おおた（太田）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太田</t>
    </r>
  </si>
  <si>
    <r>
      <t>モーツァルト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莫扎特</t>
    </r>
  </si>
  <si>
    <r>
      <t>ディズニーランド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迪斯尼乐园</t>
    </r>
  </si>
  <si>
    <r>
      <t>しゅうまつ（週末）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周末</t>
    </r>
  </si>
  <si>
    <r>
      <t>スケート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滑冰，溜冰</t>
    </r>
  </si>
  <si>
    <r>
      <t>あじ（味）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口味，（食物的）味道</t>
    </r>
  </si>
  <si>
    <r>
      <t>まいかい（毎回）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每次，每回</t>
    </r>
  </si>
  <si>
    <r>
      <t>つうきん（通勤）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上下班，通勤</t>
    </r>
  </si>
  <si>
    <r>
      <t>ふね（船）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船</t>
    </r>
  </si>
  <si>
    <r>
      <t>きじ（生地）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布料，衣料</t>
    </r>
  </si>
  <si>
    <r>
      <t>へいてんじこく（閉店時刻）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关门时间</t>
    </r>
  </si>
  <si>
    <r>
      <t>そつぎょうしき（卒業式）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毕业典礼</t>
    </r>
  </si>
  <si>
    <r>
      <t>ちがいます（違います）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不同，不一样</t>
    </r>
  </si>
  <si>
    <r>
      <t>こみます（込みます）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拥挤，混杂</t>
    </r>
  </si>
  <si>
    <r>
      <t>きまります（決まります）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定，决定</t>
    </r>
  </si>
  <si>
    <r>
      <t>しらせます（知らせます）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告诉</t>
    </r>
  </si>
  <si>
    <r>
      <t>こい（濃い）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（口味）重；浓</t>
    </r>
  </si>
  <si>
    <r>
      <t>うすい（薄い）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（口味）轻；薄</t>
    </r>
  </si>
  <si>
    <r>
      <t>はやい（早い）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</t>
    </r>
  </si>
  <si>
    <r>
      <t>おそい（遅い）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晚，慢</t>
    </r>
  </si>
  <si>
    <r>
      <t>たぶん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可能，大概</t>
    </r>
  </si>
  <si>
    <r>
      <t>とうきょうえき（東京駅）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东京站</t>
    </r>
  </si>
  <si>
    <r>
      <t>ハイキング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郊游，远足</t>
    </r>
  </si>
  <si>
    <r>
      <t>おわかれ（お別れ）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分别，分手</t>
    </r>
  </si>
  <si>
    <r>
      <t>はなし（話）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说话</t>
    </r>
  </si>
  <si>
    <r>
      <t>みおくり（見送り）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送行，送别</t>
    </r>
  </si>
  <si>
    <r>
      <t>あいだ（間）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时间，期间</t>
    </r>
  </si>
  <si>
    <r>
      <t>ほうりつ（法律）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法律</t>
    </r>
  </si>
  <si>
    <r>
      <t>おもいます（思います）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想，思考</t>
    </r>
  </si>
  <si>
    <r>
      <t>いいます（言います）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说，讲</t>
    </r>
  </si>
  <si>
    <r>
      <t>さがします（探します）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找，寻找，寻求</t>
    </r>
  </si>
  <si>
    <r>
      <t>わらいます（笑います）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笑</t>
    </r>
  </si>
  <si>
    <r>
      <t>やめます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戒，停止，放弃</t>
    </r>
  </si>
  <si>
    <r>
      <t>きめます（決めます）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决定</t>
    </r>
  </si>
  <si>
    <r>
      <t>ねぼうします（寝坊～）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睡懒觉</t>
    </r>
  </si>
  <si>
    <r>
      <t>がいしゅつします（外出～）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外出，出去</t>
    </r>
  </si>
  <si>
    <r>
      <t>けんきゅうします（研究～）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研究</t>
    </r>
  </si>
  <si>
    <r>
      <t>おかしい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可笑，滑稽</t>
    </r>
  </si>
  <si>
    <r>
      <t>いっぱい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满</t>
    </r>
  </si>
  <si>
    <r>
      <t>すこい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惊人的，了不起</t>
    </r>
  </si>
  <si>
    <r>
      <t>とうとう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终于，终究，到底</t>
    </r>
  </si>
  <si>
    <r>
      <t>かならず（必ず）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一定，必定</t>
    </r>
  </si>
  <si>
    <r>
      <t>ぜったいに（絶対に）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绝对</t>
    </r>
  </si>
  <si>
    <r>
      <t>ば（馬）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</t>
    </r>
  </si>
  <si>
    <r>
      <t>おげんきで（お元気で）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请多保重</t>
    </r>
  </si>
  <si>
    <r>
      <t>おきをつけて（お気をつけて）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小心点儿</t>
    </r>
  </si>
  <si>
    <r>
      <t>さようなら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再见</t>
    </r>
  </si>
  <si>
    <r>
      <t>どうやって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</si>
  <si>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やくにたちます（役に立ちます）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有用</t>
    </r>
  </si>
  <si>
    <r>
      <t>おなかがいっぱいです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吃饱，饱</t>
    </r>
  </si>
  <si>
    <r>
      <t>バーゲンかいじょう（～会場） 〔名〕 降价</t>
    </r>
    <r>
      <rPr>
        <sz val="10.5"/>
        <color theme="1"/>
        <rFont val="宋体"/>
        <family val="3"/>
        <charset val="134"/>
      </rPr>
      <t>处</t>
    </r>
    <r>
      <rPr>
        <sz val="10.5"/>
        <color theme="1"/>
        <rFont val="MS Mincho"/>
        <family val="3"/>
        <charset val="128"/>
      </rPr>
      <t>理大</t>
    </r>
    <r>
      <rPr>
        <sz val="10.5"/>
        <color theme="1"/>
        <rFont val="宋体"/>
        <family val="3"/>
        <charset val="134"/>
      </rPr>
      <t>卖场</t>
    </r>
    <phoneticPr fontId="12" type="noConversion"/>
  </si>
  <si>
    <r>
      <t>おつかれさまでした（お疲れ様でした）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够累的</t>
    </r>
    <phoneticPr fontId="12" type="noConversion"/>
  </si>
  <si>
    <r>
      <t>たしか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好像是，大概；的确</t>
    </r>
    <phoneticPr fontId="12" type="noConversion"/>
  </si>
  <si>
    <r>
      <rPr>
        <sz val="10.5"/>
        <color theme="1"/>
        <rFont val="宋体"/>
        <family val="3"/>
        <charset val="134"/>
      </rPr>
      <t>おさきにしつれいします（お先に失礼します）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我先走了，我先告辞了</t>
    </r>
    <phoneticPr fontId="12" type="noConversion"/>
  </si>
  <si>
    <r>
      <t>たいへんですね（大変ですね）真不容易，</t>
    </r>
    <r>
      <rPr>
        <sz val="10.5"/>
        <color theme="1"/>
        <rFont val="宋体"/>
        <family val="3"/>
        <charset val="134"/>
      </rPr>
      <t>够</t>
    </r>
    <r>
      <rPr>
        <sz val="10.5"/>
        <color theme="1"/>
        <rFont val="MS Mincho"/>
        <family val="3"/>
        <charset val="128"/>
      </rPr>
      <t>受的，不得了</t>
    </r>
    <phoneticPr fontId="12" type="noConversion"/>
  </si>
  <si>
    <r>
      <t>ばんりのちょうじょう（万里の長城）〔</t>
    </r>
    <r>
      <rPr>
        <sz val="10.5"/>
        <color theme="1"/>
        <rFont val="宋体"/>
        <family val="3"/>
        <charset val="134"/>
      </rPr>
      <t>专</t>
    </r>
    <r>
      <rPr>
        <sz val="10.5"/>
        <color theme="1"/>
        <rFont val="MS Mincho"/>
        <family val="3"/>
        <charset val="128"/>
      </rPr>
      <t>〕 万里</t>
    </r>
    <r>
      <rPr>
        <sz val="10.5"/>
        <color theme="1"/>
        <rFont val="宋体"/>
        <family val="3"/>
        <charset val="134"/>
      </rPr>
      <t>长</t>
    </r>
    <r>
      <rPr>
        <sz val="10.5"/>
        <color theme="1"/>
        <rFont val="MS Mincho"/>
        <family val="3"/>
        <charset val="128"/>
      </rPr>
      <t>城</t>
    </r>
    <phoneticPr fontId="12" type="noConversion"/>
  </si>
  <si>
    <r>
      <t>アイティーさんぎょう（ＩＴ産業）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IT</t>
    </r>
    <r>
      <rPr>
        <sz val="10.5"/>
        <color theme="1"/>
        <rFont val="宋体"/>
        <family val="3"/>
        <charset val="134"/>
      </rPr>
      <t>产业，信息技术产业</t>
    </r>
    <phoneticPr fontId="12" type="noConversion"/>
  </si>
  <si>
    <r>
      <t>にゅうじょうりょう（入場料）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门票，进场费</t>
    </r>
    <phoneticPr fontId="12" type="noConversion"/>
  </si>
  <si>
    <r>
      <t>おせわになりました（お世話になりました） 承蒙照</t>
    </r>
    <r>
      <rPr>
        <sz val="10.5"/>
        <color theme="1"/>
        <rFont val="宋体"/>
        <family val="3"/>
        <charset val="134"/>
      </rPr>
      <t>顾</t>
    </r>
    <phoneticPr fontId="12" type="noConversion"/>
  </si>
  <si>
    <r>
      <t>よろしくおつたえください（～お伝えください）</t>
    </r>
    <r>
      <rPr>
        <sz val="10.5"/>
        <color theme="1"/>
        <rFont val="宋体"/>
        <family val="3"/>
        <charset val="134"/>
      </rPr>
      <t>请</t>
    </r>
    <r>
      <rPr>
        <sz val="10.5"/>
        <color theme="1"/>
        <rFont val="MS Mincho"/>
        <family val="3"/>
        <charset val="128"/>
      </rPr>
      <t>代</t>
    </r>
    <r>
      <rPr>
        <sz val="10.5"/>
        <color theme="1"/>
        <rFont val="宋体"/>
        <family val="3"/>
        <charset val="134"/>
      </rPr>
      <t>问</t>
    </r>
    <r>
      <rPr>
        <sz val="10.5"/>
        <color theme="1"/>
        <rFont val="MS Mincho"/>
        <family val="3"/>
        <charset val="128"/>
      </rPr>
      <t>好</t>
    </r>
    <phoneticPr fontId="12" type="noConversion"/>
  </si>
  <si>
    <r>
      <t>たしかめます（確かめます）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查（看），弄清</t>
    </r>
    <phoneticPr fontId="12" type="noConversion"/>
  </si>
  <si>
    <r>
      <t>ふります（降ります）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下（雨，雪），降（雨，雪）</t>
    </r>
    <phoneticPr fontId="12" type="noConversion"/>
  </si>
  <si>
    <r>
      <t>わたります（渡ります）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过（桥，河），穿过（马路）</t>
    </r>
    <phoneticPr fontId="12" type="noConversion"/>
  </si>
  <si>
    <r>
      <t>けします（消します）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关（灯），消除，去除</t>
    </r>
    <phoneticPr fontId="12" type="noConversion"/>
  </si>
  <si>
    <r>
      <t>ペキンりょこうしゃ（北京旅行社） 〔</t>
    </r>
    <r>
      <rPr>
        <sz val="10.5"/>
        <color theme="1"/>
        <rFont val="宋体"/>
        <family val="3"/>
        <charset val="134"/>
      </rPr>
      <t>专</t>
    </r>
    <r>
      <rPr>
        <sz val="10.5"/>
        <color theme="1"/>
        <rFont val="MS Mincho"/>
        <family val="3"/>
        <charset val="128"/>
      </rPr>
      <t>〕 北京旅行社</t>
    </r>
    <phoneticPr fontId="12" type="noConversion"/>
  </si>
  <si>
    <r>
      <t xml:space="preserve">よろしくおねがいします（～お願いします）    </t>
    </r>
    <r>
      <rPr>
        <sz val="10.5"/>
        <color theme="1"/>
        <rFont val="宋体"/>
        <family val="3"/>
        <charset val="134"/>
      </rPr>
      <t>请</t>
    </r>
    <r>
      <rPr>
        <sz val="10.5"/>
        <color theme="1"/>
        <rFont val="MS Mincho"/>
        <family val="3"/>
        <charset val="128"/>
      </rPr>
      <t>多</t>
    </r>
    <r>
      <rPr>
        <sz val="10.5"/>
        <color theme="1"/>
        <rFont val="宋体"/>
        <family val="3"/>
        <charset val="134"/>
      </rPr>
      <t>关</t>
    </r>
    <r>
      <rPr>
        <sz val="10.5"/>
        <color theme="1"/>
        <rFont val="MS Mincho"/>
        <family val="3"/>
        <charset val="128"/>
      </rPr>
      <t>照</t>
    </r>
    <phoneticPr fontId="12" type="noConversion"/>
  </si>
  <si>
    <r>
      <t>あなた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</t>
    </r>
    <phoneticPr fontId="12" type="noConversion"/>
  </si>
  <si>
    <r>
      <t>うちあわせ（打ち合わせ）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事先商量，碰头，商洽</t>
    </r>
    <phoneticPr fontId="12" type="noConversion"/>
  </si>
  <si>
    <r>
      <t xml:space="preserve">いってきます </t>
    </r>
    <r>
      <rPr>
        <b/>
        <sz val="10.5"/>
        <color theme="1"/>
        <rFont val="宋体"/>
        <family val="3"/>
        <charset val="134"/>
      </rPr>
      <t>我走了</t>
    </r>
    <phoneticPr fontId="12" type="noConversion"/>
  </si>
  <si>
    <r>
      <t>よせぎざいく（寄木細工）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MS Mincho"/>
        <family val="3"/>
        <charset val="128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MS Mincho"/>
        <family val="3"/>
        <charset val="128"/>
      </rPr>
      <t>木片儿拼花工艺品</t>
    </r>
    <phoneticPr fontId="12" type="noConversion"/>
  </si>
  <si>
    <t>〔代〕 我</t>
    <phoneticPr fontId="12" type="noConversion"/>
  </si>
  <si>
    <r>
      <t>出</t>
    </r>
    <r>
      <rPr>
        <b/>
        <sz val="11"/>
        <color theme="0"/>
        <rFont val="宋体"/>
        <family val="3"/>
        <charset val="134"/>
        <scheme val="minor"/>
      </rPr>
      <t>题</t>
    </r>
    <phoneticPr fontId="2"/>
  </si>
  <si>
    <t>はこ</t>
  </si>
  <si>
    <t>（箱）</t>
  </si>
  <si>
    <t xml:space="preserve"> 〔名〕 盒子，箱子</t>
  </si>
  <si>
    <t>F</t>
    <phoneticPr fontId="19" type="noConversion"/>
  </si>
  <si>
    <t>F'</t>
    <phoneticPr fontId="19" type="noConversion"/>
  </si>
  <si>
    <t>R</t>
    <phoneticPr fontId="19" type="noConversion"/>
  </si>
  <si>
    <t>R'</t>
    <phoneticPr fontId="19" type="noConversion"/>
  </si>
  <si>
    <t>U</t>
    <phoneticPr fontId="19" type="noConversion"/>
  </si>
  <si>
    <t>U'</t>
    <phoneticPr fontId="19" type="noConversion"/>
  </si>
  <si>
    <t>M</t>
    <phoneticPr fontId="19" type="noConversion"/>
  </si>
  <si>
    <t>M'</t>
    <phoneticPr fontId="19" type="noConversion"/>
  </si>
  <si>
    <t>B</t>
    <phoneticPr fontId="19" type="noConversion"/>
  </si>
  <si>
    <t>B'</t>
    <phoneticPr fontId="19" type="noConversion"/>
  </si>
  <si>
    <t>L</t>
    <phoneticPr fontId="19" type="noConversion"/>
  </si>
  <si>
    <t>L'</t>
    <phoneticPr fontId="19" type="noConversion"/>
  </si>
  <si>
    <t>D</t>
    <phoneticPr fontId="19" type="noConversion"/>
  </si>
  <si>
    <t>D'</t>
    <phoneticPr fontId="19" type="noConversion"/>
  </si>
  <si>
    <t>B'</t>
  </si>
  <si>
    <t>↓←↑→↓↖↗↘↙</t>
    <phoneticPr fontId="2"/>
  </si>
  <si>
    <t>D:\technic docume\procode\excel\魔方公式练习\B'.png</t>
  </si>
  <si>
    <t>D:\technic docume\procode\excel\魔方公式练习\F.jpg</t>
    <phoneticPr fontId="2"/>
  </si>
  <si>
    <t>D:\technic docume\procode\excel\魔方公式练习\F'.jpg</t>
    <phoneticPr fontId="2"/>
  </si>
  <si>
    <t>D:\technic docume\procode\excel\魔方公式练习\R.jpg</t>
    <phoneticPr fontId="2"/>
  </si>
  <si>
    <t>D:\technic docume\procode\excel\魔方公式练习\R'.jpg</t>
    <phoneticPr fontId="2"/>
  </si>
  <si>
    <t>D:\technic docume\procode\excel\魔方公式练习\U.jpg</t>
    <phoneticPr fontId="2"/>
  </si>
  <si>
    <t>D:\technic docume\procode\excel\魔方公式练习\U'.jpg</t>
    <phoneticPr fontId="2"/>
  </si>
  <si>
    <t>D:\technic docume\procode\excel\魔方公式练习\M.jpg</t>
    <phoneticPr fontId="2"/>
  </si>
  <si>
    <t>D:\technic docume\procode\excel\魔方公式练习\M'.jpg</t>
    <phoneticPr fontId="2"/>
  </si>
  <si>
    <t>D:\technic docume\procode\excel\魔方公式练习\B.jpg</t>
    <phoneticPr fontId="2"/>
  </si>
  <si>
    <t>D:\technic docume\procode\excel\魔方公式练习\B'.jpg</t>
    <phoneticPr fontId="2"/>
  </si>
  <si>
    <t>D:\technic docume\procode\excel\魔方公式练习\L.jpg</t>
    <phoneticPr fontId="2"/>
  </si>
  <si>
    <t>D:\technic docume\procode\excel\魔方公式练习\L'.jpg</t>
    <phoneticPr fontId="2"/>
  </si>
  <si>
    <t>D:\technic docume\procode\excel\魔方公式练习\D.jpg</t>
    <phoneticPr fontId="2"/>
  </si>
  <si>
    <t>D:\technic docume\procode\excel\魔方公式练习\D'.jpg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</si>
</sst>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b/>
      <sz val="11"/>
      <name val="MS PGothic"/>
      <family val="2"/>
      <charset val="128"/>
    </font>
    <font>
      <b/>
      <sz val="14"/>
      <name val="MS PGothic"/>
      <family val="2"/>
      <charset val="128"/>
    </font>
    <font>
      <sz val="9"/>
      <name val="宋体"/>
      <family val="3"/>
      <charset val="134"/>
    </font>
    <font>
      <sz val="14"/>
      <name val="MS PGothic"/>
      <family val="2"/>
      <charset val="128"/>
    </font>
    <font>
      <b/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color theme="0"/>
      <name val="宋体"/>
      <family val="3"/>
      <charset val="134"/>
      <scheme val="minor"/>
    </font>
    <font>
      <b/>
      <sz val="14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theme="1"/>
      <name val="Times New Roman"/>
      <family val="1"/>
    </font>
    <font>
      <sz val="10.5"/>
      <color theme="1"/>
      <name val="MS Mincho"/>
      <family val="3"/>
      <charset val="128"/>
    </font>
    <font>
      <sz val="10.5"/>
      <color theme="1"/>
      <name val="宋体"/>
      <family val="3"/>
      <charset val="134"/>
    </font>
    <font>
      <b/>
      <sz val="10.5"/>
      <color theme="1"/>
      <name val="Times New Roman"/>
      <family val="1"/>
    </font>
    <font>
      <b/>
      <sz val="10.5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2" xfId="0" applyFont="1" applyBorder="1" applyAlignment="1"/>
    <xf numFmtId="0" fontId="4" fillId="0" borderId="3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3" fillId="0" borderId="6" xfId="0" applyFont="1" applyBorder="1" applyAlignment="1"/>
    <xf numFmtId="0" fontId="4" fillId="0" borderId="7" xfId="0" applyFont="1" applyBorder="1" applyAlignment="1"/>
    <xf numFmtId="0" fontId="4" fillId="0" borderId="8" xfId="0" applyFont="1" applyBorder="1" applyAlignment="1"/>
    <xf numFmtId="0" fontId="6" fillId="3" borderId="9" xfId="0" applyFont="1" applyFill="1" applyBorder="1" applyAlignment="1"/>
    <xf numFmtId="0" fontId="4" fillId="0" borderId="9" xfId="0" applyFont="1" applyBorder="1" applyAlignment="1"/>
    <xf numFmtId="0" fontId="4" fillId="0" borderId="10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16" xfId="0" applyBorder="1">
      <alignment vertical="center"/>
    </xf>
    <xf numFmtId="0" fontId="4" fillId="0" borderId="16" xfId="0" applyFont="1" applyBorder="1" applyAlignment="1"/>
    <xf numFmtId="0" fontId="10" fillId="2" borderId="1" xfId="1" applyFont="1" applyBorder="1" applyAlignment="1">
      <alignment horizontal="center" vertical="center"/>
    </xf>
    <xf numFmtId="0" fontId="8" fillId="2" borderId="1" xfId="1" applyFont="1" applyBorder="1" applyAlignment="1">
      <alignment horizontal="center" vertical="center"/>
    </xf>
    <xf numFmtId="0" fontId="9" fillId="2" borderId="1" xfId="1" applyFont="1" applyBorder="1" applyAlignment="1">
      <alignment horizontal="center" vertical="center"/>
    </xf>
    <xf numFmtId="0" fontId="3" fillId="0" borderId="0" xfId="0" applyFont="1" applyBorder="1" applyAlignment="1"/>
    <xf numFmtId="0" fontId="4" fillId="0" borderId="0" xfId="0" applyFont="1" applyBorder="1" applyAlignment="1"/>
    <xf numFmtId="0" fontId="4" fillId="0" borderId="21" xfId="0" applyFont="1" applyBorder="1" applyAlignment="1"/>
    <xf numFmtId="0" fontId="11" fillId="0" borderId="3" xfId="0" applyFont="1" applyBorder="1" applyAlignment="1"/>
    <xf numFmtId="0" fontId="0" fillId="0" borderId="4" xfId="0" applyBorder="1" applyAlignment="1"/>
    <xf numFmtId="0" fontId="0" fillId="0" borderId="20" xfId="0" applyBorder="1" applyAlignment="1"/>
    <xf numFmtId="0" fontId="14" fillId="0" borderId="0" xfId="0" applyFont="1" applyAlignment="1">
      <alignment horizontal="justify" vertical="center"/>
    </xf>
    <xf numFmtId="0" fontId="13" fillId="0" borderId="0" xfId="0" applyFont="1" applyAlignment="1">
      <alignment horizontal="justify" vertical="center"/>
    </xf>
    <xf numFmtId="0" fontId="7" fillId="2" borderId="1" xfId="1" applyFont="1" applyBorder="1" applyAlignment="1">
      <alignment horizontal="center" vertical="center"/>
    </xf>
    <xf numFmtId="0" fontId="11" fillId="0" borderId="17" xfId="0" applyFont="1" applyBorder="1" applyAlignment="1"/>
    <xf numFmtId="0" fontId="0" fillId="0" borderId="18" xfId="0" applyBorder="1" applyAlignment="1"/>
    <xf numFmtId="0" fontId="0" fillId="0" borderId="19" xfId="0" applyBorder="1" applyAlignment="1"/>
    <xf numFmtId="0" fontId="20" fillId="0" borderId="16" xfId="0" applyFont="1" applyBorder="1">
      <alignment vertical="center"/>
    </xf>
  </cellXfs>
  <cellStyles count="2">
    <cellStyle name="常规" xfId="0" builtinId="0"/>
    <cellStyle name="着色 1" xfId="1" builtinId="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12A7BAA4-EF7E-4944-B2D8-A68CCD600717}" ax:persistence="persistPropertyBag">
  <ax:ocxPr ax:name="_ExtentX" ax:value="503"/>
  <ax:ocxPr ax:name="_ExtentY" ax:value="582"/>
</ax:ocx>
</file>

<file path=xl/activeX/activeX8.xml><?xml version="1.0" encoding="utf-8"?>
<ax:ocx xmlns:ax="http://schemas.microsoft.com/office/2006/activeX" xmlns:r="http://schemas.openxmlformats.org/officeDocument/2006/relationships" ax:classid="{12A7BAA4-EF7E-4944-B2D8-A68CCD600717}" ax:persistence="persistPropertyBag">
  <ax:ocxPr ax:name="_ExtentX" ax:value="503"/>
  <ax:ocxPr ax:name="_ExtentY" ax:value="582"/>
</ax:ocx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3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9</xdr:row>
          <xdr:rowOff>0</xdr:rowOff>
        </xdr:from>
        <xdr:to>
          <xdr:col>1</xdr:col>
          <xdr:colOff>76200</xdr:colOff>
          <xdr:row>10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0</xdr:rowOff>
        </xdr:from>
        <xdr:to>
          <xdr:col>2</xdr:col>
          <xdr:colOff>171450</xdr:colOff>
          <xdr:row>10</xdr:row>
          <xdr:rowOff>76200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85725</xdr:colOff>
          <xdr:row>5</xdr:row>
          <xdr:rowOff>28575</xdr:rowOff>
        </xdr:to>
        <xdr:grpSp>
          <xdr:nvGrpSpPr>
            <xdr:cNvPr id="2056" name="Group 8"/>
            <xdr:cNvGrpSpPr>
              <a:grpSpLocks/>
            </xdr:cNvGrpSpPr>
          </xdr:nvGrpSpPr>
          <xdr:grpSpPr bwMode="auto">
            <a:xfrm>
              <a:off x="85725" y="85725"/>
              <a:ext cx="1371600" cy="800100"/>
              <a:chOff x="13" y="8"/>
              <a:chExt cx="144" cy="84"/>
            </a:xfrm>
          </xdr:grpSpPr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37" y="24"/>
                <a:ext cx="119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38" y="52"/>
                <a:ext cx="115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Group Box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" y="8"/>
                <a:ext cx="144" cy="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请选择假名题型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0</xdr:rowOff>
        </xdr:from>
        <xdr:to>
          <xdr:col>3</xdr:col>
          <xdr:colOff>57150</xdr:colOff>
          <xdr:row>10</xdr:row>
          <xdr:rowOff>76200</xdr:rowOff>
        </xdr:to>
        <xdr:sp macro="" textlink="">
          <xdr:nvSpPr>
            <xdr:cNvPr id="2063" name="ToggleButton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180975</xdr:colOff>
          <xdr:row>79</xdr:row>
          <xdr:rowOff>38100</xdr:rowOff>
        </xdr:to>
        <xdr:sp macro="" textlink="">
          <xdr:nvSpPr>
            <xdr:cNvPr id="2065" name="vbaTimer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47626</xdr:colOff>
          <xdr:row>5</xdr:row>
          <xdr:rowOff>85725</xdr:rowOff>
        </xdr:from>
        <xdr:to>
          <xdr:col>7</xdr:col>
          <xdr:colOff>504825</xdr:colOff>
          <xdr:row>10</xdr:row>
          <xdr:rowOff>38100</xdr:rowOff>
        </xdr:to>
        <xdr:sp macro="" textlink="">
          <xdr:nvSpPr>
            <xdr:cNvPr id="2066" name="Image1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1905000</xdr:colOff>
          <xdr:row>3</xdr:row>
          <xdr:rowOff>161925</xdr:rowOff>
        </xdr:from>
        <xdr:to>
          <xdr:col>1</xdr:col>
          <xdr:colOff>676275</xdr:colOff>
          <xdr:row>5</xdr:row>
          <xdr:rowOff>66675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152400</xdr:rowOff>
        </xdr:from>
        <xdr:to>
          <xdr:col>1</xdr:col>
          <xdr:colOff>1428750</xdr:colOff>
          <xdr:row>5</xdr:row>
          <xdr:rowOff>57150</xdr:rowOff>
        </xdr:to>
        <xdr:sp macro="" textlink="">
          <xdr:nvSpPr>
            <xdr:cNvPr id="3078" name="CommandButton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1914525</xdr:colOff>
          <xdr:row>2</xdr:row>
          <xdr:rowOff>57150</xdr:rowOff>
        </xdr:from>
        <xdr:to>
          <xdr:col>1</xdr:col>
          <xdr:colOff>676275</xdr:colOff>
          <xdr:row>3</xdr:row>
          <xdr:rowOff>133350</xdr:rowOff>
        </xdr:to>
        <xdr:sp macro="" textlink="">
          <xdr:nvSpPr>
            <xdr:cNvPr id="3079" name="Toggle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76201</xdr:rowOff>
        </xdr:from>
        <xdr:to>
          <xdr:col>0</xdr:col>
          <xdr:colOff>1485900</xdr:colOff>
          <xdr:row>5</xdr:row>
          <xdr:rowOff>95251</xdr:rowOff>
        </xdr:to>
        <xdr:grpSp>
          <xdr:nvGrpSpPr>
            <xdr:cNvPr id="3" name="组合 2"/>
            <xdr:cNvGrpSpPr/>
          </xdr:nvGrpSpPr>
          <xdr:grpSpPr>
            <a:xfrm>
              <a:off x="114300" y="76201"/>
              <a:ext cx="1371600" cy="876300"/>
              <a:chOff x="-7439025" y="-1876424"/>
              <a:chExt cx="1371600" cy="876300"/>
            </a:xfrm>
          </xdr:grpSpPr>
          <xdr:sp macro="" textlink="">
            <xdr:nvSpPr>
              <xdr:cNvPr id="3074" name="OptionButton1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-7210425" y="-1781175"/>
                <a:ext cx="1133475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5" name="OptionButton2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-7219950" y="-1524000"/>
                <a:ext cx="10953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6" name="Group Box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-7439025" y="-1876424"/>
                <a:ext cx="1371600" cy="876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请选择所出题型</a:t>
                </a:r>
              </a:p>
            </xdr:txBody>
          </xdr:sp>
          <xdr:sp macro="" textlink="">
            <xdr:nvSpPr>
              <xdr:cNvPr id="3081" name="CheckBox1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-7200900" y="-1276350"/>
                <a:ext cx="742950" cy="2285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78</xdr:row>
          <xdr:rowOff>38100</xdr:rowOff>
        </xdr:from>
        <xdr:to>
          <xdr:col>0</xdr:col>
          <xdr:colOff>219075</xdr:colOff>
          <xdr:row>79</xdr:row>
          <xdr:rowOff>76200</xdr:rowOff>
        </xdr:to>
        <xdr:sp macro="" textlink="">
          <xdr:nvSpPr>
            <xdr:cNvPr id="3082" name="vbaTimer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2.xml"/><Relationship Id="rId17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9.emf"/><Relationship Id="rId14" Type="http://schemas.openxmlformats.org/officeDocument/2006/relationships/control" Target="../activeX/activeX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5"/>
  <sheetViews>
    <sheetView tabSelected="1" workbookViewId="0">
      <selection activeCell="C7" sqref="C7"/>
    </sheetView>
  </sheetViews>
  <sheetFormatPr defaultRowHeight="13.5" x14ac:dyDescent="0.15"/>
  <cols>
    <col min="2" max="2" width="12.5" customWidth="1"/>
    <col min="3" max="3" width="52.5" customWidth="1"/>
  </cols>
  <sheetData>
    <row r="1" spans="1:19" ht="17.25" x14ac:dyDescent="0.2">
      <c r="A1" s="17" t="s">
        <v>1307</v>
      </c>
      <c r="B1" s="17" t="s">
        <v>1307</v>
      </c>
      <c r="C1" s="33" t="s">
        <v>1324</v>
      </c>
      <c r="D1" s="16"/>
      <c r="I1" s="1">
        <v>1</v>
      </c>
      <c r="J1" s="2" t="s">
        <v>0</v>
      </c>
      <c r="K1" s="3" t="s">
        <v>1</v>
      </c>
      <c r="L1" s="3" t="s">
        <v>2</v>
      </c>
      <c r="M1" s="3" t="s">
        <v>3</v>
      </c>
      <c r="N1" s="3" t="s">
        <v>4</v>
      </c>
      <c r="O1" s="3" t="s">
        <v>5</v>
      </c>
      <c r="P1" s="3" t="s">
        <v>6</v>
      </c>
      <c r="Q1" s="3" t="s">
        <v>7</v>
      </c>
      <c r="R1" s="3" t="s">
        <v>8</v>
      </c>
      <c r="S1" s="4" t="s">
        <v>9</v>
      </c>
    </row>
    <row r="2" spans="1:19" ht="17.25" x14ac:dyDescent="0.2">
      <c r="A2" s="17" t="s">
        <v>1308</v>
      </c>
      <c r="B2" s="17" t="s">
        <v>1308</v>
      </c>
      <c r="C2" s="33" t="s">
        <v>1325</v>
      </c>
      <c r="D2" s="16"/>
      <c r="E2" t="s">
        <v>1322</v>
      </c>
      <c r="I2" s="5">
        <v>2</v>
      </c>
      <c r="J2" s="6" t="s">
        <v>10</v>
      </c>
      <c r="K2" s="7" t="s">
        <v>11</v>
      </c>
      <c r="L2" s="7" t="s">
        <v>12</v>
      </c>
      <c r="M2" s="7" t="s">
        <v>13</v>
      </c>
      <c r="N2" s="7" t="s">
        <v>14</v>
      </c>
      <c r="O2" s="7" t="s">
        <v>15</v>
      </c>
      <c r="P2" s="7" t="s">
        <v>16</v>
      </c>
      <c r="Q2" s="7"/>
      <c r="R2" s="7" t="s">
        <v>17</v>
      </c>
      <c r="S2" s="8" t="s">
        <v>18</v>
      </c>
    </row>
    <row r="3" spans="1:19" ht="17.25" x14ac:dyDescent="0.2">
      <c r="A3" s="17" t="s">
        <v>1309</v>
      </c>
      <c r="B3" s="17" t="s">
        <v>1309</v>
      </c>
      <c r="C3" s="16" t="s">
        <v>1326</v>
      </c>
      <c r="D3" s="16"/>
      <c r="I3" s="5">
        <v>3</v>
      </c>
      <c r="J3" s="6" t="s">
        <v>19</v>
      </c>
      <c r="K3" s="7" t="s">
        <v>20</v>
      </c>
      <c r="L3" s="7" t="s">
        <v>21</v>
      </c>
      <c r="M3" s="7" t="s">
        <v>22</v>
      </c>
      <c r="N3" s="7" t="s">
        <v>23</v>
      </c>
      <c r="O3" s="7" t="s">
        <v>24</v>
      </c>
      <c r="P3" s="7" t="s">
        <v>25</v>
      </c>
      <c r="Q3" s="7" t="s">
        <v>26</v>
      </c>
      <c r="R3" s="7" t="s">
        <v>27</v>
      </c>
      <c r="S3" s="9"/>
    </row>
    <row r="4" spans="1:19" ht="17.25" x14ac:dyDescent="0.2">
      <c r="A4" s="17" t="s">
        <v>1310</v>
      </c>
      <c r="B4" s="17" t="s">
        <v>1310</v>
      </c>
      <c r="C4" s="16" t="s">
        <v>1327</v>
      </c>
      <c r="D4" s="16"/>
      <c r="I4" s="5">
        <v>4</v>
      </c>
      <c r="J4" s="6" t="s">
        <v>28</v>
      </c>
      <c r="K4" s="7" t="s">
        <v>29</v>
      </c>
      <c r="L4" s="7" t="s">
        <v>30</v>
      </c>
      <c r="M4" s="7" t="s">
        <v>31</v>
      </c>
      <c r="N4" s="7" t="s">
        <v>32</v>
      </c>
      <c r="O4" s="7" t="s">
        <v>33</v>
      </c>
      <c r="P4" s="7" t="s">
        <v>34</v>
      </c>
      <c r="Q4" s="7"/>
      <c r="R4" s="7" t="s">
        <v>35</v>
      </c>
      <c r="S4" s="8" t="s">
        <v>36</v>
      </c>
    </row>
    <row r="5" spans="1:19" ht="18" thickBot="1" x14ac:dyDescent="0.25">
      <c r="A5" s="17" t="s">
        <v>1311</v>
      </c>
      <c r="B5" s="17" t="s">
        <v>1311</v>
      </c>
      <c r="C5" s="16" t="s">
        <v>1328</v>
      </c>
      <c r="D5" s="16"/>
      <c r="I5" s="5">
        <v>5</v>
      </c>
      <c r="J5" s="10" t="s">
        <v>37</v>
      </c>
      <c r="K5" s="11" t="s">
        <v>38</v>
      </c>
      <c r="L5" s="11" t="s">
        <v>39</v>
      </c>
      <c r="M5" s="11" t="s">
        <v>40</v>
      </c>
      <c r="N5" s="11" t="s">
        <v>41</v>
      </c>
      <c r="O5" s="11" t="s">
        <v>42</v>
      </c>
      <c r="P5" s="11" t="s">
        <v>43</v>
      </c>
      <c r="Q5" s="11" t="s">
        <v>44</v>
      </c>
      <c r="R5" s="11" t="s">
        <v>45</v>
      </c>
      <c r="S5" s="12" t="s">
        <v>46</v>
      </c>
    </row>
    <row r="6" spans="1:19" ht="18" thickBot="1" x14ac:dyDescent="0.25">
      <c r="A6" s="17" t="s">
        <v>1312</v>
      </c>
      <c r="B6" s="17" t="s">
        <v>1312</v>
      </c>
      <c r="C6" s="16" t="s">
        <v>1329</v>
      </c>
      <c r="D6" s="16"/>
    </row>
    <row r="7" spans="1:19" ht="18.75" thickTop="1" thickBot="1" x14ac:dyDescent="0.25">
      <c r="A7" s="17" t="s">
        <v>1313</v>
      </c>
      <c r="B7" s="17" t="s">
        <v>1313</v>
      </c>
      <c r="C7" s="16" t="s">
        <v>1330</v>
      </c>
      <c r="D7" s="16"/>
      <c r="I7" s="13"/>
      <c r="J7" s="14">
        <v>1</v>
      </c>
      <c r="K7" s="14">
        <v>2</v>
      </c>
      <c r="L7" s="14">
        <v>3</v>
      </c>
      <c r="M7" s="14">
        <v>4</v>
      </c>
      <c r="N7" s="14">
        <v>5</v>
      </c>
      <c r="O7" s="14">
        <v>6</v>
      </c>
      <c r="P7" s="14">
        <v>7</v>
      </c>
      <c r="Q7" s="14">
        <v>8</v>
      </c>
      <c r="R7" s="14">
        <v>9</v>
      </c>
      <c r="S7" s="15">
        <v>10</v>
      </c>
    </row>
    <row r="8" spans="1:19" ht="17.25" x14ac:dyDescent="0.2">
      <c r="A8" s="17" t="s">
        <v>1314</v>
      </c>
      <c r="B8" s="17" t="s">
        <v>1314</v>
      </c>
      <c r="C8" s="16" t="s">
        <v>1331</v>
      </c>
      <c r="D8" s="16"/>
      <c r="I8" s="5">
        <v>1</v>
      </c>
      <c r="J8" s="2" t="s">
        <v>47</v>
      </c>
      <c r="K8" s="3" t="s">
        <v>48</v>
      </c>
      <c r="L8" s="3" t="s">
        <v>49</v>
      </c>
      <c r="M8" s="3" t="s">
        <v>50</v>
      </c>
      <c r="N8" s="3" t="s">
        <v>51</v>
      </c>
      <c r="O8" s="3" t="s">
        <v>52</v>
      </c>
      <c r="P8" s="3" t="s">
        <v>53</v>
      </c>
      <c r="Q8" s="3" t="s">
        <v>54</v>
      </c>
      <c r="R8" s="3" t="s">
        <v>55</v>
      </c>
      <c r="S8" s="4" t="s">
        <v>56</v>
      </c>
    </row>
    <row r="9" spans="1:19" ht="17.25" x14ac:dyDescent="0.2">
      <c r="A9" s="17" t="s">
        <v>1315</v>
      </c>
      <c r="B9" s="17" t="s">
        <v>1315</v>
      </c>
      <c r="C9" s="33" t="s">
        <v>1332</v>
      </c>
      <c r="D9" s="16"/>
      <c r="I9" s="5">
        <v>2</v>
      </c>
      <c r="J9" s="6" t="s">
        <v>57</v>
      </c>
      <c r="K9" s="7" t="s">
        <v>58</v>
      </c>
      <c r="L9" s="7" t="s">
        <v>59</v>
      </c>
      <c r="M9" s="7" t="s">
        <v>60</v>
      </c>
      <c r="N9" s="7" t="s">
        <v>61</v>
      </c>
      <c r="O9" s="7" t="s">
        <v>62</v>
      </c>
      <c r="P9" s="7" t="s">
        <v>63</v>
      </c>
      <c r="Q9" s="7"/>
      <c r="R9" s="7" t="s">
        <v>64</v>
      </c>
      <c r="S9" s="8" t="s">
        <v>65</v>
      </c>
    </row>
    <row r="10" spans="1:19" ht="17.25" x14ac:dyDescent="0.2">
      <c r="A10" s="17" t="s">
        <v>1316</v>
      </c>
      <c r="B10" s="17" t="s">
        <v>1316</v>
      </c>
      <c r="C10" s="33" t="s">
        <v>1333</v>
      </c>
      <c r="D10" s="16"/>
      <c r="I10" s="5">
        <v>3</v>
      </c>
      <c r="J10" s="6" t="s">
        <v>66</v>
      </c>
      <c r="K10" s="7" t="s">
        <v>67</v>
      </c>
      <c r="L10" s="7" t="s">
        <v>68</v>
      </c>
      <c r="M10" s="7" t="s">
        <v>69</v>
      </c>
      <c r="N10" s="7" t="s">
        <v>70</v>
      </c>
      <c r="O10" s="7" t="s">
        <v>71</v>
      </c>
      <c r="P10" s="7" t="s">
        <v>72</v>
      </c>
      <c r="Q10" s="7" t="s">
        <v>73</v>
      </c>
      <c r="R10" s="7" t="s">
        <v>74</v>
      </c>
      <c r="S10" s="9"/>
    </row>
    <row r="11" spans="1:19" ht="17.25" x14ac:dyDescent="0.2">
      <c r="A11" s="17" t="s">
        <v>1317</v>
      </c>
      <c r="B11" s="17" t="s">
        <v>1317</v>
      </c>
      <c r="C11" s="16" t="s">
        <v>1334</v>
      </c>
      <c r="D11" s="16"/>
      <c r="I11" s="5">
        <v>4</v>
      </c>
      <c r="J11" s="6" t="s">
        <v>75</v>
      </c>
      <c r="K11" s="7" t="s">
        <v>76</v>
      </c>
      <c r="L11" s="7" t="s">
        <v>77</v>
      </c>
      <c r="M11" s="7" t="s">
        <v>78</v>
      </c>
      <c r="N11" s="7" t="s">
        <v>79</v>
      </c>
      <c r="O11" s="7" t="s">
        <v>80</v>
      </c>
      <c r="P11" s="7" t="s">
        <v>81</v>
      </c>
      <c r="Q11" s="7"/>
      <c r="R11" s="7" t="s">
        <v>82</v>
      </c>
      <c r="S11" s="8" t="s">
        <v>83</v>
      </c>
    </row>
    <row r="12" spans="1:19" ht="18" thickBot="1" x14ac:dyDescent="0.25">
      <c r="A12" s="17" t="s">
        <v>1318</v>
      </c>
      <c r="B12" s="17" t="s">
        <v>1318</v>
      </c>
      <c r="C12" s="16" t="s">
        <v>1335</v>
      </c>
      <c r="D12" s="16"/>
      <c r="I12" s="5">
        <v>5</v>
      </c>
      <c r="J12" s="10" t="s">
        <v>84</v>
      </c>
      <c r="K12" s="11" t="s">
        <v>85</v>
      </c>
      <c r="L12" s="11" t="s">
        <v>86</v>
      </c>
      <c r="M12" s="11" t="s">
        <v>87</v>
      </c>
      <c r="N12" s="11" t="s">
        <v>88</v>
      </c>
      <c r="O12" s="11" t="s">
        <v>89</v>
      </c>
      <c r="P12" s="11" t="s">
        <v>90</v>
      </c>
      <c r="Q12" s="11" t="s">
        <v>91</v>
      </c>
      <c r="R12" s="11" t="s">
        <v>92</v>
      </c>
      <c r="S12" s="12" t="s">
        <v>93</v>
      </c>
    </row>
    <row r="13" spans="1:19" ht="18" thickBot="1" x14ac:dyDescent="0.25">
      <c r="A13" s="17" t="s">
        <v>1319</v>
      </c>
      <c r="B13" s="17" t="s">
        <v>1319</v>
      </c>
      <c r="C13" s="16" t="s">
        <v>1336</v>
      </c>
      <c r="D13" s="16"/>
      <c r="I13" s="21"/>
      <c r="J13" s="22"/>
      <c r="K13" s="22"/>
      <c r="L13" s="22"/>
      <c r="M13" s="22"/>
      <c r="N13" s="22"/>
    </row>
    <row r="14" spans="1:19" ht="18.75" x14ac:dyDescent="0.25">
      <c r="A14" s="17" t="s">
        <v>1320</v>
      </c>
      <c r="B14" s="17" t="s">
        <v>1320</v>
      </c>
      <c r="C14" s="16" t="s">
        <v>1337</v>
      </c>
      <c r="D14" s="16"/>
      <c r="I14" s="30" t="s">
        <v>173</v>
      </c>
      <c r="J14" s="31"/>
      <c r="K14" s="31"/>
      <c r="L14" s="31"/>
      <c r="M14" s="31"/>
      <c r="N14" s="32"/>
    </row>
    <row r="15" spans="1:19" ht="17.25" x14ac:dyDescent="0.2">
      <c r="A15" s="16"/>
      <c r="B15" s="17"/>
      <c r="C15" s="16"/>
      <c r="D15" s="16"/>
      <c r="I15" s="5">
        <v>6</v>
      </c>
      <c r="J15" s="6" t="s">
        <v>123</v>
      </c>
      <c r="K15" s="7" t="s">
        <v>124</v>
      </c>
      <c r="L15" s="7" t="s">
        <v>125</v>
      </c>
      <c r="M15" s="7" t="s">
        <v>126</v>
      </c>
      <c r="N15" s="7" t="s">
        <v>127</v>
      </c>
    </row>
    <row r="16" spans="1:19" ht="17.25" x14ac:dyDescent="0.2">
      <c r="A16" s="16"/>
      <c r="B16" s="17"/>
      <c r="C16" s="16"/>
      <c r="D16" s="16"/>
      <c r="I16" s="5">
        <v>7</v>
      </c>
      <c r="J16" s="6" t="s">
        <v>128</v>
      </c>
      <c r="K16" s="7" t="s">
        <v>129</v>
      </c>
      <c r="L16" s="7" t="s">
        <v>130</v>
      </c>
      <c r="M16" s="7" t="s">
        <v>131</v>
      </c>
      <c r="N16" s="7" t="s">
        <v>132</v>
      </c>
    </row>
    <row r="17" spans="1:16" ht="17.25" x14ac:dyDescent="0.2">
      <c r="A17" s="16"/>
      <c r="B17" s="17"/>
      <c r="C17" s="16"/>
      <c r="D17" s="16"/>
      <c r="I17" s="5">
        <v>8</v>
      </c>
      <c r="J17" s="6" t="s">
        <v>133</v>
      </c>
      <c r="K17" s="7" t="s">
        <v>134</v>
      </c>
      <c r="L17" s="7" t="s">
        <v>135</v>
      </c>
      <c r="M17" s="7" t="s">
        <v>136</v>
      </c>
      <c r="N17" s="7" t="s">
        <v>137</v>
      </c>
    </row>
    <row r="18" spans="1:16" ht="17.25" x14ac:dyDescent="0.2">
      <c r="A18" s="16"/>
      <c r="B18" s="17"/>
      <c r="C18" s="16"/>
      <c r="D18" s="16"/>
      <c r="I18" s="5">
        <v>9</v>
      </c>
      <c r="J18" s="6" t="s">
        <v>138</v>
      </c>
      <c r="K18" s="7" t="s">
        <v>139</v>
      </c>
      <c r="L18" s="7" t="s">
        <v>140</v>
      </c>
      <c r="M18" s="7" t="s">
        <v>141</v>
      </c>
      <c r="N18" s="7" t="s">
        <v>142</v>
      </c>
    </row>
    <row r="19" spans="1:16" ht="18" thickBot="1" x14ac:dyDescent="0.25">
      <c r="A19" s="16"/>
      <c r="B19" s="17"/>
      <c r="C19" s="16"/>
      <c r="D19" s="16"/>
      <c r="I19" s="5">
        <v>10</v>
      </c>
      <c r="J19" s="10" t="s">
        <v>143</v>
      </c>
      <c r="K19" s="11" t="s">
        <v>144</v>
      </c>
      <c r="L19" s="11" t="s">
        <v>145</v>
      </c>
      <c r="M19" s="11" t="s">
        <v>146</v>
      </c>
      <c r="N19" s="11" t="s">
        <v>147</v>
      </c>
    </row>
    <row r="20" spans="1:16" ht="17.25" x14ac:dyDescent="0.2">
      <c r="A20" s="16"/>
      <c r="B20" s="17"/>
      <c r="C20" s="16"/>
      <c r="D20" s="16"/>
      <c r="I20" s="21"/>
      <c r="J20" s="22"/>
      <c r="K20" s="22"/>
      <c r="L20" s="22"/>
      <c r="M20" s="22"/>
      <c r="N20" s="22"/>
    </row>
    <row r="21" spans="1:16" ht="17.25" x14ac:dyDescent="0.2">
      <c r="A21" s="16"/>
      <c r="B21" s="17"/>
      <c r="C21" s="16"/>
      <c r="D21" s="16"/>
      <c r="I21" s="5">
        <v>6</v>
      </c>
      <c r="J21" s="6" t="s">
        <v>148</v>
      </c>
      <c r="K21" s="7" t="s">
        <v>149</v>
      </c>
      <c r="L21" s="7" t="s">
        <v>150</v>
      </c>
      <c r="M21" s="7" t="s">
        <v>151</v>
      </c>
      <c r="N21" s="7" t="s">
        <v>152</v>
      </c>
    </row>
    <row r="22" spans="1:16" ht="17.25" x14ac:dyDescent="0.2">
      <c r="A22" s="16"/>
      <c r="B22" s="17"/>
      <c r="C22" s="16"/>
      <c r="D22" s="16"/>
      <c r="I22" s="5">
        <v>7</v>
      </c>
      <c r="J22" s="6" t="s">
        <v>153</v>
      </c>
      <c r="K22" s="7" t="s">
        <v>154</v>
      </c>
      <c r="L22" s="7" t="s">
        <v>155</v>
      </c>
      <c r="M22" s="7" t="s">
        <v>156</v>
      </c>
      <c r="N22" s="7" t="s">
        <v>157</v>
      </c>
    </row>
    <row r="23" spans="1:16" ht="17.25" x14ac:dyDescent="0.2">
      <c r="A23" s="16"/>
      <c r="B23" s="17"/>
      <c r="C23" s="16"/>
      <c r="D23" s="16"/>
      <c r="I23" s="5">
        <v>8</v>
      </c>
      <c r="J23" s="6" t="s">
        <v>158</v>
      </c>
      <c r="K23" s="7" t="s">
        <v>159</v>
      </c>
      <c r="L23" s="7" t="s">
        <v>160</v>
      </c>
      <c r="M23" s="7" t="s">
        <v>161</v>
      </c>
      <c r="N23" s="7" t="s">
        <v>162</v>
      </c>
    </row>
    <row r="24" spans="1:16" ht="17.25" x14ac:dyDescent="0.2">
      <c r="A24" s="16"/>
      <c r="B24" s="17"/>
      <c r="C24" s="16"/>
      <c r="D24" s="16"/>
      <c r="I24" s="5">
        <v>9</v>
      </c>
      <c r="J24" s="6" t="s">
        <v>163</v>
      </c>
      <c r="K24" s="7" t="s">
        <v>164</v>
      </c>
      <c r="L24" s="7" t="s">
        <v>165</v>
      </c>
      <c r="M24" s="7" t="s">
        <v>166</v>
      </c>
      <c r="N24" s="7" t="s">
        <v>167</v>
      </c>
    </row>
    <row r="25" spans="1:16" ht="18" thickBot="1" x14ac:dyDescent="0.25">
      <c r="A25" s="16"/>
      <c r="B25" s="17"/>
      <c r="C25" s="16"/>
      <c r="D25" s="16"/>
      <c r="I25" s="5">
        <v>10</v>
      </c>
      <c r="J25" s="10" t="s">
        <v>168</v>
      </c>
      <c r="K25" s="11" t="s">
        <v>169</v>
      </c>
      <c r="L25" s="11" t="s">
        <v>170</v>
      </c>
      <c r="M25" s="11" t="s">
        <v>171</v>
      </c>
      <c r="N25" s="11" t="s">
        <v>172</v>
      </c>
    </row>
    <row r="26" spans="1:16" ht="18" thickBot="1" x14ac:dyDescent="0.25">
      <c r="A26" s="16"/>
      <c r="B26" s="17"/>
      <c r="C26" s="16"/>
      <c r="D26" s="16"/>
    </row>
    <row r="27" spans="1:16" ht="19.5" thickBot="1" x14ac:dyDescent="0.3">
      <c r="A27" s="16"/>
      <c r="B27" s="17"/>
      <c r="C27" s="16"/>
      <c r="D27" s="16"/>
      <c r="I27" s="5"/>
      <c r="J27" s="24" t="s">
        <v>174</v>
      </c>
      <c r="K27" s="25"/>
      <c r="L27" s="25"/>
      <c r="M27" s="25"/>
      <c r="N27" s="25"/>
    </row>
    <row r="28" spans="1:16" ht="17.25" x14ac:dyDescent="0.2">
      <c r="A28" s="16"/>
      <c r="B28" s="17"/>
      <c r="C28" s="16"/>
      <c r="D28" s="16"/>
      <c r="I28" s="5">
        <v>11</v>
      </c>
      <c r="J28" s="6" t="s">
        <v>175</v>
      </c>
      <c r="K28" s="7" t="s">
        <v>176</v>
      </c>
      <c r="L28" s="7" t="s">
        <v>177</v>
      </c>
      <c r="M28" s="7" t="s">
        <v>178</v>
      </c>
      <c r="N28" s="7" t="s">
        <v>179</v>
      </c>
      <c r="O28" s="25"/>
      <c r="P28" s="26"/>
    </row>
    <row r="29" spans="1:16" ht="17.25" x14ac:dyDescent="0.2">
      <c r="A29" s="16"/>
      <c r="B29" s="17"/>
      <c r="C29" s="16"/>
      <c r="D29" s="16"/>
      <c r="I29" s="5">
        <v>12</v>
      </c>
      <c r="J29" s="6" t="s">
        <v>182</v>
      </c>
      <c r="K29" s="7" t="s">
        <v>183</v>
      </c>
      <c r="L29" s="7" t="s">
        <v>184</v>
      </c>
      <c r="M29" s="7" t="s">
        <v>185</v>
      </c>
      <c r="N29" s="7" t="s">
        <v>186</v>
      </c>
      <c r="O29" s="7" t="s">
        <v>180</v>
      </c>
      <c r="P29" s="23" t="s">
        <v>181</v>
      </c>
    </row>
    <row r="30" spans="1:16" ht="17.25" x14ac:dyDescent="0.2">
      <c r="A30" s="16"/>
      <c r="B30" s="17"/>
      <c r="C30" s="16"/>
      <c r="D30" s="16"/>
      <c r="I30" s="5">
        <v>13</v>
      </c>
      <c r="J30" s="6" t="s">
        <v>189</v>
      </c>
      <c r="K30" s="7" t="s">
        <v>190</v>
      </c>
      <c r="L30" s="7" t="s">
        <v>191</v>
      </c>
      <c r="M30" s="7" t="s">
        <v>192</v>
      </c>
      <c r="N30" s="7" t="s">
        <v>193</v>
      </c>
      <c r="O30" s="7" t="s">
        <v>187</v>
      </c>
      <c r="P30" s="23" t="s">
        <v>188</v>
      </c>
    </row>
    <row r="31" spans="1:16" ht="17.25" x14ac:dyDescent="0.2">
      <c r="A31" s="16"/>
      <c r="B31" s="17"/>
      <c r="C31" s="16"/>
      <c r="D31" s="16"/>
      <c r="I31" s="5">
        <v>15</v>
      </c>
      <c r="J31" s="6" t="s">
        <v>196</v>
      </c>
      <c r="K31" s="7" t="s">
        <v>197</v>
      </c>
      <c r="L31" s="7" t="s">
        <v>198</v>
      </c>
      <c r="M31" s="7" t="s">
        <v>199</v>
      </c>
      <c r="N31" s="23" t="s">
        <v>200</v>
      </c>
      <c r="O31" s="7" t="s">
        <v>194</v>
      </c>
      <c r="P31" s="23" t="s">
        <v>195</v>
      </c>
    </row>
    <row r="32" spans="1:16" ht="17.25" x14ac:dyDescent="0.2">
      <c r="A32" s="16"/>
      <c r="B32" s="17"/>
      <c r="C32" s="16"/>
      <c r="D32" s="16"/>
      <c r="I32" s="5">
        <v>16</v>
      </c>
      <c r="J32" s="6" t="s">
        <v>201</v>
      </c>
      <c r="K32" s="7" t="s">
        <v>202</v>
      </c>
      <c r="L32" s="7" t="s">
        <v>203</v>
      </c>
      <c r="M32" s="7" t="s">
        <v>204</v>
      </c>
      <c r="N32" s="23" t="s">
        <v>205</v>
      </c>
    </row>
    <row r="33" spans="1:17" ht="17.25" x14ac:dyDescent="0.2">
      <c r="A33" s="16"/>
      <c r="B33" s="17"/>
      <c r="C33" s="16"/>
      <c r="D33" s="16"/>
      <c r="I33" s="5">
        <v>17</v>
      </c>
      <c r="J33" s="6" t="s">
        <v>206</v>
      </c>
      <c r="K33" s="7" t="s">
        <v>207</v>
      </c>
      <c r="L33" s="7" t="s">
        <v>208</v>
      </c>
      <c r="M33" s="7" t="s">
        <v>209</v>
      </c>
      <c r="N33" s="23" t="s">
        <v>210</v>
      </c>
    </row>
    <row r="34" spans="1:17" ht="17.25" x14ac:dyDescent="0.2">
      <c r="A34" s="16"/>
      <c r="B34" s="17"/>
      <c r="C34" s="16"/>
      <c r="D34" s="16"/>
    </row>
    <row r="35" spans="1:17" ht="17.25" x14ac:dyDescent="0.2">
      <c r="A35" s="16"/>
      <c r="B35" s="17"/>
      <c r="C35" s="16"/>
      <c r="D35" s="16"/>
      <c r="I35" s="5">
        <v>11</v>
      </c>
      <c r="J35" s="6" t="s">
        <v>211</v>
      </c>
      <c r="K35" s="7" t="s">
        <v>212</v>
      </c>
      <c r="L35" s="7" t="s">
        <v>213</v>
      </c>
      <c r="M35" s="7" t="s">
        <v>214</v>
      </c>
      <c r="N35" s="7" t="s">
        <v>215</v>
      </c>
    </row>
    <row r="36" spans="1:17" ht="17.25" x14ac:dyDescent="0.2">
      <c r="A36" s="16"/>
      <c r="B36" s="17"/>
      <c r="C36" s="16"/>
      <c r="D36" s="16"/>
      <c r="I36" s="5">
        <v>12</v>
      </c>
      <c r="J36" s="6" t="s">
        <v>218</v>
      </c>
      <c r="K36" s="7" t="s">
        <v>219</v>
      </c>
      <c r="L36" s="7" t="s">
        <v>220</v>
      </c>
      <c r="M36" s="7" t="s">
        <v>221</v>
      </c>
      <c r="N36" s="7" t="s">
        <v>222</v>
      </c>
      <c r="O36" s="7" t="s">
        <v>216</v>
      </c>
      <c r="P36" s="23" t="s">
        <v>217</v>
      </c>
      <c r="Q36" s="22"/>
    </row>
    <row r="37" spans="1:17" ht="17.25" x14ac:dyDescent="0.2">
      <c r="A37" s="16"/>
      <c r="B37" s="17"/>
      <c r="C37" s="16"/>
      <c r="D37" s="16"/>
      <c r="I37" s="5">
        <v>13</v>
      </c>
      <c r="J37" s="6" t="s">
        <v>225</v>
      </c>
      <c r="K37" s="7" t="s">
        <v>226</v>
      </c>
      <c r="L37" s="7" t="s">
        <v>227</v>
      </c>
      <c r="M37" s="7" t="s">
        <v>228</v>
      </c>
      <c r="N37" s="7" t="s">
        <v>229</v>
      </c>
      <c r="O37" s="7" t="s">
        <v>223</v>
      </c>
      <c r="P37" s="23" t="s">
        <v>224</v>
      </c>
      <c r="Q37" s="22"/>
    </row>
    <row r="38" spans="1:17" ht="17.25" x14ac:dyDescent="0.2">
      <c r="A38" s="16"/>
      <c r="B38" s="17"/>
      <c r="C38" s="16"/>
      <c r="D38" s="16"/>
      <c r="I38" s="5">
        <v>15</v>
      </c>
      <c r="J38" s="6" t="s">
        <v>232</v>
      </c>
      <c r="K38" s="7" t="s">
        <v>233</v>
      </c>
      <c r="L38" s="7" t="s">
        <v>234</v>
      </c>
      <c r="M38" s="7" t="s">
        <v>235</v>
      </c>
      <c r="N38" s="23" t="s">
        <v>236</v>
      </c>
      <c r="O38" s="7" t="s">
        <v>230</v>
      </c>
      <c r="P38" s="23" t="s">
        <v>231</v>
      </c>
      <c r="Q38" s="22"/>
    </row>
    <row r="39" spans="1:17" ht="17.25" x14ac:dyDescent="0.2">
      <c r="A39" s="16"/>
      <c r="B39" s="17"/>
      <c r="C39" s="16"/>
      <c r="D39" s="16"/>
      <c r="I39" s="5">
        <v>16</v>
      </c>
      <c r="J39" s="6" t="s">
        <v>237</v>
      </c>
      <c r="K39" s="7" t="s">
        <v>238</v>
      </c>
      <c r="L39" s="7" t="s">
        <v>239</v>
      </c>
      <c r="M39" s="7" t="s">
        <v>240</v>
      </c>
      <c r="N39" s="23" t="s">
        <v>241</v>
      </c>
    </row>
    <row r="40" spans="1:17" ht="17.25" x14ac:dyDescent="0.2">
      <c r="A40" s="16"/>
      <c r="B40" s="17"/>
      <c r="C40" s="16"/>
      <c r="D40" s="16"/>
      <c r="I40" s="5">
        <v>17</v>
      </c>
      <c r="J40" s="6" t="s">
        <v>242</v>
      </c>
      <c r="K40" s="7" t="s">
        <v>243</v>
      </c>
      <c r="L40" s="7" t="s">
        <v>244</v>
      </c>
      <c r="M40" s="7" t="s">
        <v>245</v>
      </c>
      <c r="N40" s="23" t="s">
        <v>246</v>
      </c>
    </row>
    <row r="41" spans="1:17" ht="17.25" x14ac:dyDescent="0.2">
      <c r="A41" s="16"/>
      <c r="B41" s="17"/>
      <c r="C41" s="16"/>
      <c r="D41" s="16"/>
    </row>
    <row r="42" spans="1:17" ht="17.25" x14ac:dyDescent="0.2">
      <c r="A42" s="16"/>
      <c r="B42" s="17"/>
      <c r="C42" s="16"/>
      <c r="D42" s="16"/>
    </row>
    <row r="43" spans="1:17" ht="17.25" x14ac:dyDescent="0.2">
      <c r="A43" s="16"/>
      <c r="B43" s="17"/>
      <c r="C43" s="16"/>
      <c r="D43" s="16"/>
    </row>
    <row r="44" spans="1:17" ht="17.25" x14ac:dyDescent="0.2">
      <c r="A44" s="16"/>
      <c r="B44" s="17"/>
      <c r="C44" s="16"/>
      <c r="D44" s="16"/>
    </row>
    <row r="45" spans="1:17" ht="17.25" x14ac:dyDescent="0.2">
      <c r="A45" s="16"/>
      <c r="B45" s="17"/>
      <c r="C45" s="16"/>
      <c r="D45" s="16"/>
    </row>
  </sheetData>
  <mergeCells count="1">
    <mergeCell ref="I14:N14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M25"/>
  <sheetViews>
    <sheetView showGridLines="0" zoomScaleNormal="100" workbookViewId="0">
      <selection activeCell="H30" sqref="H30"/>
    </sheetView>
  </sheetViews>
  <sheetFormatPr defaultRowHeight="13.5" x14ac:dyDescent="0.15"/>
  <sheetData>
    <row r="7" spans="1:3" x14ac:dyDescent="0.15">
      <c r="A7" s="18" t="s">
        <v>121</v>
      </c>
      <c r="B7" s="19" t="s">
        <v>122</v>
      </c>
      <c r="C7" s="19" t="s">
        <v>122</v>
      </c>
    </row>
    <row r="8" spans="1:3" ht="20.25" customHeight="1" x14ac:dyDescent="0.15">
      <c r="A8" s="18" t="s">
        <v>1321</v>
      </c>
      <c r="B8" s="19" t="s">
        <v>1323</v>
      </c>
      <c r="C8" s="19"/>
    </row>
    <row r="17" spans="11:13" x14ac:dyDescent="0.15">
      <c r="K17" s="20" t="s">
        <v>100</v>
      </c>
      <c r="L17" s="20" t="s">
        <v>115</v>
      </c>
      <c r="M17" s="20" t="s">
        <v>116</v>
      </c>
    </row>
    <row r="18" spans="11:13" x14ac:dyDescent="0.15">
      <c r="K18" s="20" t="s">
        <v>95</v>
      </c>
      <c r="L18" s="20" t="s">
        <v>105</v>
      </c>
      <c r="M18" s="20" t="s">
        <v>106</v>
      </c>
    </row>
    <row r="19" spans="11:13" x14ac:dyDescent="0.15">
      <c r="K19" s="20" t="s">
        <v>99</v>
      </c>
      <c r="L19" s="20" t="s">
        <v>113</v>
      </c>
      <c r="M19" s="20" t="s">
        <v>114</v>
      </c>
    </row>
    <row r="20" spans="11:13" x14ac:dyDescent="0.15">
      <c r="K20" s="20" t="s">
        <v>102</v>
      </c>
      <c r="L20" s="20" t="s">
        <v>119</v>
      </c>
      <c r="M20" s="20" t="s">
        <v>120</v>
      </c>
    </row>
    <row r="21" spans="11:13" x14ac:dyDescent="0.15">
      <c r="K21" s="20" t="s">
        <v>97</v>
      </c>
      <c r="L21" s="20" t="s">
        <v>109</v>
      </c>
      <c r="M21" s="20" t="s">
        <v>110</v>
      </c>
    </row>
    <row r="22" spans="11:13" x14ac:dyDescent="0.15">
      <c r="K22" s="20" t="s">
        <v>96</v>
      </c>
      <c r="L22" s="20" t="s">
        <v>107</v>
      </c>
      <c r="M22" s="20" t="s">
        <v>108</v>
      </c>
    </row>
    <row r="23" spans="11:13" x14ac:dyDescent="0.15">
      <c r="K23" s="20" t="s">
        <v>94</v>
      </c>
      <c r="L23" s="20" t="s">
        <v>103</v>
      </c>
      <c r="M23" s="20" t="s">
        <v>104</v>
      </c>
    </row>
    <row r="24" spans="11:13" x14ac:dyDescent="0.15">
      <c r="K24" s="20" t="s">
        <v>98</v>
      </c>
      <c r="L24" s="20" t="s">
        <v>111</v>
      </c>
      <c r="M24" s="20" t="s">
        <v>112</v>
      </c>
    </row>
    <row r="25" spans="11:13" x14ac:dyDescent="0.15">
      <c r="K25" s="20" t="s">
        <v>101</v>
      </c>
      <c r="L25" s="20" t="s">
        <v>117</v>
      </c>
      <c r="M25" s="20" t="s">
        <v>118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Image1">
          <controlPr defaultSize="0" autoLine="0" r:id="rId5">
            <anchor moveWithCells="1">
              <from>
                <xdr:col>6</xdr:col>
                <xdr:colOff>47625</xdr:colOff>
                <xdr:row>5</xdr:row>
                <xdr:rowOff>85725</xdr:rowOff>
              </from>
              <to>
                <xdr:col>7</xdr:col>
                <xdr:colOff>504825</xdr:colOff>
                <xdr:row>10</xdr:row>
                <xdr:rowOff>38100</xdr:rowOff>
              </to>
            </anchor>
          </controlPr>
        </control>
      </mc:Choice>
      <mc:Fallback>
        <control shapeId="2066" r:id="rId4" name="Image1"/>
      </mc:Fallback>
    </mc:AlternateContent>
    <mc:AlternateContent xmlns:mc="http://schemas.openxmlformats.org/markup-compatibility/2006">
      <mc:Choice Requires="x14">
        <control shapeId="2052" r:id="rId6" name="OptionButton2">
          <controlPr defaultSize="0" autoLine="0" r:id="rId7">
            <anchor moveWithCells="1" sizeWithCells="1">
              <from>
                <xdr:col>0</xdr:col>
                <xdr:colOff>323850</xdr:colOff>
                <xdr:row>2</xdr:row>
                <xdr:rowOff>161925</xdr:rowOff>
              </from>
              <to>
                <xdr:col>2</xdr:col>
                <xdr:colOff>47625</xdr:colOff>
                <xdr:row>4</xdr:row>
                <xdr:rowOff>85725</xdr:rowOff>
              </to>
            </anchor>
          </controlPr>
        </control>
      </mc:Choice>
      <mc:Fallback>
        <control shapeId="2052" r:id="rId6" name="OptionButton2"/>
      </mc:Fallback>
    </mc:AlternateContent>
    <mc:AlternateContent xmlns:mc="http://schemas.openxmlformats.org/markup-compatibility/2006">
      <mc:Choice Requires="x14">
        <control shapeId="2051" r:id="rId8" name="OptionButton1">
          <controlPr defaultSize="0" autoLine="0" r:id="rId9">
            <anchor moveWithCells="1" sizeWithCells="1">
              <from>
                <xdr:col>0</xdr:col>
                <xdr:colOff>314325</xdr:colOff>
                <xdr:row>1</xdr:row>
                <xdr:rowOff>66675</xdr:rowOff>
              </from>
              <to>
                <xdr:col>2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2051" r:id="rId8" name="OptionButton1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1</xdr:col>
                <xdr:colOff>142875</xdr:colOff>
                <xdr:row>9</xdr:row>
                <xdr:rowOff>0</xdr:rowOff>
              </from>
              <to>
                <xdr:col>2</xdr:col>
                <xdr:colOff>171450</xdr:colOff>
                <xdr:row>10</xdr:row>
                <xdr:rowOff>76200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0</xdr:col>
                <xdr:colOff>47625</xdr:colOff>
                <xdr:row>9</xdr:row>
                <xdr:rowOff>0</xdr:rowOff>
              </from>
              <to>
                <xdr:col>1</xdr:col>
                <xdr:colOff>76200</xdr:colOff>
                <xdr:row>10</xdr:row>
                <xdr:rowOff>76200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63" r:id="rId14" name="ToggleButton1">
          <controlPr defaultSize="0" autoLine="0" r:id="rId15">
            <anchor moveWithCells="1">
              <from>
                <xdr:col>2</xdr:col>
                <xdr:colOff>200025</xdr:colOff>
                <xdr:row>9</xdr:row>
                <xdr:rowOff>0</xdr:rowOff>
              </from>
              <to>
                <xdr:col>3</xdr:col>
                <xdr:colOff>57150</xdr:colOff>
                <xdr:row>10</xdr:row>
                <xdr:rowOff>76200</xdr:rowOff>
              </to>
            </anchor>
          </controlPr>
        </control>
      </mc:Choice>
      <mc:Fallback>
        <control shapeId="2063" r:id="rId14" name="ToggleButton1"/>
      </mc:Fallback>
    </mc:AlternateContent>
    <mc:AlternateContent xmlns:mc="http://schemas.openxmlformats.org/markup-compatibility/2006">
      <mc:Choice Requires="x14">
        <control shapeId="2065" r:id="rId16" name="vbaTimer1">
          <controlPr defaultSize="0" disabled="1" autoLine="0" r:id="rId17">
            <anchor moveWithCells="1">
              <from>
                <xdr:col>0</xdr:col>
                <xdr:colOff>0</xdr:colOff>
                <xdr:row>78</xdr:row>
                <xdr:rowOff>0</xdr:rowOff>
              </from>
              <to>
                <xdr:col>0</xdr:col>
                <xdr:colOff>180975</xdr:colOff>
                <xdr:row>79</xdr:row>
                <xdr:rowOff>38100</xdr:rowOff>
              </to>
            </anchor>
          </controlPr>
        </control>
      </mc:Choice>
      <mc:Fallback>
        <control shapeId="2065" r:id="rId16" name="vbaTimer1"/>
      </mc:Fallback>
    </mc:AlternateContent>
    <mc:AlternateContent xmlns:mc="http://schemas.openxmlformats.org/markup-compatibility/2006">
      <mc:Choice Requires="x14">
        <control shapeId="2053" r:id="rId18" name="Group Box 5">
          <controlPr defaultSize="0" autoFill="0" autoPict="0">
            <anchor moveWithCells="1" sizeWithCells="1">
              <from>
                <xdr:col>0</xdr:col>
                <xdr:colOff>85725</xdr:colOff>
                <xdr:row>0</xdr:row>
                <xdr:rowOff>85725</xdr:rowOff>
              </from>
              <to>
                <xdr:col>2</xdr:col>
                <xdr:colOff>85725</xdr:colOff>
                <xdr:row>5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7:C8"/>
  <sheetViews>
    <sheetView showGridLines="0" topLeftCell="A42" workbookViewId="0">
      <selection activeCell="A9" sqref="A9"/>
    </sheetView>
  </sheetViews>
  <sheetFormatPr defaultRowHeight="13.5" x14ac:dyDescent="0.15"/>
  <cols>
    <col min="1" max="1" width="25.5" customWidth="1"/>
    <col min="2" max="2" width="19.5" customWidth="1"/>
    <col min="3" max="3" width="23.125" customWidth="1"/>
  </cols>
  <sheetData>
    <row r="7" spans="1:3" ht="17.25" customHeight="1" x14ac:dyDescent="0.15">
      <c r="A7" s="29" t="s">
        <v>1303</v>
      </c>
      <c r="B7" s="19" t="s">
        <v>122</v>
      </c>
      <c r="C7" s="19" t="s">
        <v>122</v>
      </c>
    </row>
    <row r="8" spans="1:3" x14ac:dyDescent="0.15">
      <c r="A8" s="18" t="s">
        <v>1304</v>
      </c>
      <c r="B8" s="19" t="s">
        <v>1305</v>
      </c>
      <c r="C8" s="19" t="s">
        <v>1306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vbaTimer1">
          <controlPr disabled="1" autoLine="0" r:id="rId5">
            <anchor moveWithCells="1">
              <from>
                <xdr:col>0</xdr:col>
                <xdr:colOff>38100</xdr:colOff>
                <xdr:row>78</xdr:row>
                <xdr:rowOff>38100</xdr:rowOff>
              </from>
              <to>
                <xdr:col>0</xdr:col>
                <xdr:colOff>219075</xdr:colOff>
                <xdr:row>79</xdr:row>
                <xdr:rowOff>76200</xdr:rowOff>
              </to>
            </anchor>
          </controlPr>
        </control>
      </mc:Choice>
      <mc:Fallback>
        <control shapeId="3082" r:id="rId4" name="vbaTimer1"/>
      </mc:Fallback>
    </mc:AlternateContent>
    <mc:AlternateContent xmlns:mc="http://schemas.openxmlformats.org/markup-compatibility/2006">
      <mc:Choice Requires="x14">
        <control shapeId="3079" r:id="rId6" name="ToggleButton1">
          <controlPr defaultSize="0" autoLine="0" r:id="rId7">
            <anchor moveWithCells="1">
              <from>
                <xdr:col>0</xdr:col>
                <xdr:colOff>1914525</xdr:colOff>
                <xdr:row>2</xdr:row>
                <xdr:rowOff>57150</xdr:rowOff>
              </from>
              <to>
                <xdr:col>1</xdr:col>
                <xdr:colOff>676275</xdr:colOff>
                <xdr:row>3</xdr:row>
                <xdr:rowOff>133350</xdr:rowOff>
              </to>
            </anchor>
          </controlPr>
        </control>
      </mc:Choice>
      <mc:Fallback>
        <control shapeId="3079" r:id="rId6" name="ToggleButton1"/>
      </mc:Fallback>
    </mc:AlternateContent>
    <mc:AlternateContent xmlns:mc="http://schemas.openxmlformats.org/markup-compatibility/2006">
      <mc:Choice Requires="x14">
        <control shapeId="3078" r:id="rId8" name="CommandButton2">
          <controlPr defaultSize="0" autoLine="0" r:id="rId9">
            <anchor moveWithCells="1">
              <from>
                <xdr:col>1</xdr:col>
                <xdr:colOff>714375</xdr:colOff>
                <xdr:row>3</xdr:row>
                <xdr:rowOff>152400</xdr:rowOff>
              </from>
              <to>
                <xdr:col>1</xdr:col>
                <xdr:colOff>1428750</xdr:colOff>
                <xdr:row>5</xdr:row>
                <xdr:rowOff>57150</xdr:rowOff>
              </to>
            </anchor>
          </controlPr>
        </control>
      </mc:Choice>
      <mc:Fallback>
        <control shapeId="3078" r:id="rId8" name="CommandButton2"/>
      </mc:Fallback>
    </mc:AlternateContent>
    <mc:AlternateContent xmlns:mc="http://schemas.openxmlformats.org/markup-compatibility/2006">
      <mc:Choice Requires="x14">
        <control shapeId="3077" r:id="rId10" name="CommandButton1">
          <controlPr defaultSize="0" autoLine="0" r:id="rId11">
            <anchor moveWithCells="1">
              <from>
                <xdr:col>0</xdr:col>
                <xdr:colOff>1905000</xdr:colOff>
                <xdr:row>3</xdr:row>
                <xdr:rowOff>161925</xdr:rowOff>
              </from>
              <to>
                <xdr:col>1</xdr:col>
                <xdr:colOff>676275</xdr:colOff>
                <xdr:row>5</xdr:row>
                <xdr:rowOff>66675</xdr:rowOff>
              </to>
            </anchor>
          </controlPr>
        </control>
      </mc:Choice>
      <mc:Fallback>
        <control shapeId="3077" r:id="rId10" name="CommandButton1"/>
      </mc:Fallback>
    </mc:AlternateContent>
    <mc:AlternateContent xmlns:mc="http://schemas.openxmlformats.org/markup-compatibility/2006">
      <mc:Choice Requires="x14">
        <control shapeId="3075" r:id="rId12" name="OptionButton2">
          <controlPr defaultSize="0" autoLine="0" r:id="rId13">
            <anchor moveWithCells="1" sizeWithCells="1">
              <from>
                <xdr:col>0</xdr:col>
                <xdr:colOff>333375</xdr:colOff>
                <xdr:row>2</xdr:row>
                <xdr:rowOff>85725</xdr:rowOff>
              </from>
              <to>
                <xdr:col>0</xdr:col>
                <xdr:colOff>1428750</xdr:colOff>
                <xdr:row>4</xdr:row>
                <xdr:rowOff>9525</xdr:rowOff>
              </to>
            </anchor>
          </controlPr>
        </control>
      </mc:Choice>
      <mc:Fallback>
        <control shapeId="3075" r:id="rId12" name="OptionButton2"/>
      </mc:Fallback>
    </mc:AlternateContent>
    <mc:AlternateContent xmlns:mc="http://schemas.openxmlformats.org/markup-compatibility/2006">
      <mc:Choice Requires="x14">
        <control shapeId="3074" r:id="rId14" name="OptionButton1">
          <controlPr defaultSize="0" autoLine="0" r:id="rId15">
            <anchor moveWithCells="1" siz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1476375</xdr:colOff>
                <xdr:row>2</xdr:row>
                <xdr:rowOff>161925</xdr:rowOff>
              </to>
            </anchor>
          </controlPr>
        </control>
      </mc:Choice>
      <mc:Fallback>
        <control shapeId="3074" r:id="rId14" name="OptionButton1"/>
      </mc:Fallback>
    </mc:AlternateContent>
    <mc:AlternateContent xmlns:mc="http://schemas.openxmlformats.org/markup-compatibility/2006">
      <mc:Choice Requires="x14">
        <control shapeId="3081" r:id="rId16" name="CheckBox1">
          <controlPr defaultSize="0" autoLine="0" r:id="rId17">
            <anchor moveWithCells="1">
              <from>
                <xdr:col>0</xdr:col>
                <xdr:colOff>352425</xdr:colOff>
                <xdr:row>3</xdr:row>
                <xdr:rowOff>161925</xdr:rowOff>
              </from>
              <to>
                <xdr:col>0</xdr:col>
                <xdr:colOff>1095375</xdr:colOff>
                <xdr:row>5</xdr:row>
                <xdr:rowOff>47625</xdr:rowOff>
              </to>
            </anchor>
          </controlPr>
        </control>
      </mc:Choice>
      <mc:Fallback>
        <control shapeId="3081" r:id="rId16" name="CheckBox1"/>
      </mc:Fallback>
    </mc:AlternateContent>
    <mc:AlternateContent xmlns:mc="http://schemas.openxmlformats.org/markup-compatibility/2006">
      <mc:Choice Requires="x14">
        <control shapeId="3076" r:id="rId18" name="Group Box 4">
          <controlPr defaultSize="0" autoFill="0" autoPict="0">
            <anchor moveWithCells="1" sizeWithCells="1">
              <from>
                <xdr:col>0</xdr:col>
                <xdr:colOff>114300</xdr:colOff>
                <xdr:row>0</xdr:row>
                <xdr:rowOff>76200</xdr:rowOff>
              </from>
              <to>
                <xdr:col>0</xdr:col>
                <xdr:colOff>1485900</xdr:colOff>
                <xdr:row>5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55"/>
  <sheetViews>
    <sheetView workbookViewId="0">
      <selection activeCell="A999" sqref="A999"/>
    </sheetView>
  </sheetViews>
  <sheetFormatPr defaultRowHeight="13.5" x14ac:dyDescent="0.15"/>
  <cols>
    <col min="2" max="2" width="54.125" customWidth="1"/>
    <col min="3" max="3" width="25.5" bestFit="1" customWidth="1"/>
    <col min="4" max="4" width="23.625" customWidth="1"/>
    <col min="5" max="5" width="18" customWidth="1"/>
    <col min="6" max="6" width="16.25" customWidth="1"/>
    <col min="7" max="7" width="13" customWidth="1"/>
    <col min="8" max="8" width="12.875" customWidth="1"/>
  </cols>
  <sheetData>
    <row r="1" spans="1:5" ht="12.75" customHeight="1" x14ac:dyDescent="0.15">
      <c r="A1">
        <f>ROW()</f>
        <v>1</v>
      </c>
      <c r="B1" s="27" t="s">
        <v>247</v>
      </c>
      <c r="C1" t="str">
        <f>LEFT(B1,FIND("（",B1)-1)</f>
        <v>ちゅうごくじん</v>
      </c>
      <c r="D1" t="str">
        <f>MID(B1,FIND("（",B1),FIND("）",B1)-FIND("（",B1)+1)</f>
        <v>（中国人）</v>
      </c>
      <c r="E1" t="str">
        <f>RIGHT(B1,LEN(B1)-FIND("）",B1))</f>
        <v xml:space="preserve"> 〔名〕 中国人</v>
      </c>
    </row>
    <row r="2" spans="1:5" ht="12.75" customHeight="1" x14ac:dyDescent="0.15">
      <c r="A2">
        <f>ROW()</f>
        <v>2</v>
      </c>
      <c r="B2" s="27" t="s">
        <v>248</v>
      </c>
      <c r="C2" t="str">
        <f t="shared" ref="C2:C60" si="0">LEFT(B2,FIND("（",B2)-1)</f>
        <v>にほんじん</v>
      </c>
      <c r="D2" t="str">
        <f t="shared" ref="D2:D60" si="1">MID(B2,FIND("（",B2),FIND("）",B2)-FIND("（",B2)+1)</f>
        <v>（日本人）</v>
      </c>
      <c r="E2" t="str">
        <f t="shared" ref="E2:E60" si="2">RIGHT(B2,LEN(B2)-FIND("）",B2))</f>
        <v xml:space="preserve"> 〔名〕 日本人</v>
      </c>
    </row>
    <row r="3" spans="1:5" ht="12.75" customHeight="1" x14ac:dyDescent="0.15">
      <c r="A3">
        <f>ROW()</f>
        <v>3</v>
      </c>
      <c r="B3" s="27" t="s">
        <v>249</v>
      </c>
      <c r="C3" t="str">
        <f t="shared" si="0"/>
        <v>かんこくじん</v>
      </c>
      <c r="D3" t="str">
        <f t="shared" si="1"/>
        <v>（韓国人）</v>
      </c>
      <c r="E3" t="str">
        <f t="shared" si="2"/>
        <v xml:space="preserve"> 〔名〕 韩国人</v>
      </c>
    </row>
    <row r="4" spans="1:5" ht="12.75" customHeight="1" x14ac:dyDescent="0.15">
      <c r="A4">
        <f>ROW()</f>
        <v>4</v>
      </c>
      <c r="B4" s="27" t="s">
        <v>250</v>
      </c>
      <c r="C4" t="str">
        <f t="shared" si="0"/>
        <v>アメリカじん</v>
      </c>
      <c r="D4" t="str">
        <f t="shared" si="1"/>
        <v>（～人）</v>
      </c>
      <c r="E4" t="str">
        <f t="shared" si="2"/>
        <v xml:space="preserve"> 〔名〕 美国人</v>
      </c>
    </row>
    <row r="5" spans="1:5" ht="12.75" customHeight="1" x14ac:dyDescent="0.15">
      <c r="A5">
        <f>ROW()</f>
        <v>5</v>
      </c>
      <c r="B5" s="27" t="s">
        <v>251</v>
      </c>
      <c r="C5" t="str">
        <f t="shared" si="0"/>
        <v>フランスじん</v>
      </c>
      <c r="D5" t="str">
        <f t="shared" si="1"/>
        <v>（～人）</v>
      </c>
      <c r="E5" t="str">
        <f t="shared" si="2"/>
        <v xml:space="preserve"> 〔名〕 法国人</v>
      </c>
    </row>
    <row r="6" spans="1:5" ht="12.75" customHeight="1" x14ac:dyDescent="0.15">
      <c r="A6">
        <f>ROW()</f>
        <v>6</v>
      </c>
      <c r="B6" s="27" t="s">
        <v>252</v>
      </c>
      <c r="C6" t="str">
        <f t="shared" si="0"/>
        <v>がくせい</v>
      </c>
      <c r="D6" t="str">
        <f t="shared" si="1"/>
        <v>（学生）</v>
      </c>
      <c r="E6" t="str">
        <f t="shared" si="2"/>
        <v xml:space="preserve"> 〔名〕 （大）学生</v>
      </c>
    </row>
    <row r="7" spans="1:5" ht="12.75" customHeight="1" x14ac:dyDescent="0.15">
      <c r="A7">
        <f>ROW()</f>
        <v>7</v>
      </c>
      <c r="B7" s="27" t="s">
        <v>253</v>
      </c>
      <c r="C7" t="str">
        <f t="shared" si="0"/>
        <v>せんせい</v>
      </c>
      <c r="D7" t="str">
        <f t="shared" si="1"/>
        <v>（先生）</v>
      </c>
      <c r="E7" t="str">
        <f t="shared" si="2"/>
        <v xml:space="preserve"> 〔名〕 老师</v>
      </c>
    </row>
    <row r="8" spans="1:5" ht="12.75" customHeight="1" x14ac:dyDescent="0.15">
      <c r="A8">
        <f>ROW()</f>
        <v>8</v>
      </c>
      <c r="B8" s="27" t="s">
        <v>254</v>
      </c>
      <c r="C8" t="str">
        <f t="shared" si="0"/>
        <v>りゅうがくせい</v>
      </c>
      <c r="D8" t="str">
        <f t="shared" si="1"/>
        <v>（留学生）</v>
      </c>
      <c r="E8" t="str">
        <f t="shared" si="2"/>
        <v xml:space="preserve"> 〔名〕 留学生</v>
      </c>
    </row>
    <row r="9" spans="1:5" ht="12.75" customHeight="1" x14ac:dyDescent="0.15">
      <c r="A9">
        <f>ROW()</f>
        <v>9</v>
      </c>
      <c r="B9" s="27" t="s">
        <v>255</v>
      </c>
      <c r="C9" t="str">
        <f t="shared" si="0"/>
        <v>きょうじゅ</v>
      </c>
      <c r="D9" t="str">
        <f t="shared" si="1"/>
        <v>（教授）</v>
      </c>
      <c r="E9" t="str">
        <f t="shared" si="2"/>
        <v xml:space="preserve"> 〔名〕 教授</v>
      </c>
    </row>
    <row r="10" spans="1:5" ht="12.75" customHeight="1" x14ac:dyDescent="0.15">
      <c r="A10">
        <f>ROW()</f>
        <v>10</v>
      </c>
      <c r="B10" s="27" t="s">
        <v>256</v>
      </c>
      <c r="C10" t="str">
        <f t="shared" si="0"/>
        <v>しゃいん</v>
      </c>
      <c r="D10" t="str">
        <f t="shared" si="1"/>
        <v>（社員）</v>
      </c>
      <c r="E10" t="str">
        <f t="shared" si="2"/>
        <v xml:space="preserve"> 〔名〕 职员</v>
      </c>
    </row>
    <row r="11" spans="1:5" ht="12.75" customHeight="1" x14ac:dyDescent="0.15">
      <c r="A11">
        <f>ROW()</f>
        <v>11</v>
      </c>
      <c r="B11" s="27" t="s">
        <v>257</v>
      </c>
      <c r="C11" t="str">
        <f t="shared" si="0"/>
        <v>かいしゃいん</v>
      </c>
      <c r="D11" t="str">
        <f t="shared" si="1"/>
        <v>（会社員）</v>
      </c>
      <c r="E11" t="str">
        <f t="shared" si="2"/>
        <v xml:space="preserve"> 〔名〕 公司职员</v>
      </c>
    </row>
    <row r="12" spans="1:5" ht="12.75" customHeight="1" x14ac:dyDescent="0.15">
      <c r="A12">
        <f>ROW()</f>
        <v>12</v>
      </c>
      <c r="B12" s="27" t="s">
        <v>258</v>
      </c>
      <c r="C12" t="str">
        <f t="shared" si="0"/>
        <v>てんいん</v>
      </c>
      <c r="D12" t="str">
        <f t="shared" si="1"/>
        <v>（店員）</v>
      </c>
      <c r="E12" t="str">
        <f t="shared" si="2"/>
        <v xml:space="preserve"> 〔名〕 店员</v>
      </c>
    </row>
    <row r="13" spans="1:5" ht="12.75" customHeight="1" x14ac:dyDescent="0.15">
      <c r="A13">
        <f>ROW()</f>
        <v>13</v>
      </c>
      <c r="B13" s="27" t="s">
        <v>259</v>
      </c>
      <c r="C13" t="str">
        <f t="shared" si="0"/>
        <v>けんしゅうせい</v>
      </c>
      <c r="D13" t="str">
        <f t="shared" si="1"/>
        <v>（研修生）</v>
      </c>
      <c r="E13" t="str">
        <f t="shared" si="2"/>
        <v xml:space="preserve"> 〔名〕 进修生</v>
      </c>
    </row>
    <row r="14" spans="1:5" ht="12.75" customHeight="1" x14ac:dyDescent="0.15">
      <c r="A14">
        <f>ROW()</f>
        <v>14</v>
      </c>
      <c r="B14" s="27" t="s">
        <v>260</v>
      </c>
      <c r="C14" t="str">
        <f t="shared" si="0"/>
        <v>きぎょう</v>
      </c>
      <c r="D14" t="str">
        <f t="shared" si="1"/>
        <v>（企業）</v>
      </c>
      <c r="E14" t="str">
        <f t="shared" si="2"/>
        <v xml:space="preserve"> 〔名〕 企业</v>
      </c>
    </row>
    <row r="15" spans="1:5" ht="12.75" customHeight="1" x14ac:dyDescent="0.15">
      <c r="A15">
        <f>ROW()</f>
        <v>15</v>
      </c>
      <c r="B15" s="27" t="s">
        <v>261</v>
      </c>
      <c r="C15" t="str">
        <f t="shared" si="0"/>
        <v>だいがく</v>
      </c>
      <c r="D15" t="str">
        <f t="shared" si="1"/>
        <v>（大学）</v>
      </c>
      <c r="E15" t="str">
        <f t="shared" si="2"/>
        <v xml:space="preserve"> 〔名〕 大学</v>
      </c>
    </row>
    <row r="16" spans="1:5" ht="12.75" customHeight="1" x14ac:dyDescent="0.15">
      <c r="A16">
        <f>ROW()</f>
        <v>16</v>
      </c>
      <c r="B16" s="27" t="s">
        <v>262</v>
      </c>
      <c r="C16" t="str">
        <f t="shared" si="0"/>
        <v>ちち</v>
      </c>
      <c r="D16" t="str">
        <f t="shared" si="1"/>
        <v>（父）</v>
      </c>
      <c r="E16" t="str">
        <f t="shared" si="2"/>
        <v xml:space="preserve"> 〔名〕 （我）父亲</v>
      </c>
    </row>
    <row r="17" spans="1:5" ht="12.75" customHeight="1" x14ac:dyDescent="0.15">
      <c r="A17">
        <f>ROW()</f>
        <v>17</v>
      </c>
      <c r="B17" s="27" t="s">
        <v>263</v>
      </c>
      <c r="C17" t="str">
        <f t="shared" si="0"/>
        <v>かちょう</v>
      </c>
      <c r="D17" t="str">
        <f t="shared" si="1"/>
        <v>（課長）</v>
      </c>
      <c r="E17" t="str">
        <f t="shared" si="2"/>
        <v xml:space="preserve"> 〔名〕 科长</v>
      </c>
    </row>
    <row r="18" spans="1:5" ht="12.75" customHeight="1" x14ac:dyDescent="0.15">
      <c r="A18">
        <f>ROW()</f>
        <v>18</v>
      </c>
      <c r="B18" s="27" t="s">
        <v>264</v>
      </c>
      <c r="C18" t="str">
        <f t="shared" si="0"/>
        <v>しゃちょう</v>
      </c>
      <c r="D18" t="str">
        <f t="shared" si="1"/>
        <v>（社長）</v>
      </c>
      <c r="E18" t="str">
        <f t="shared" si="2"/>
        <v xml:space="preserve"> 〔名〕 总经理，社长</v>
      </c>
    </row>
    <row r="19" spans="1:5" ht="12.75" customHeight="1" x14ac:dyDescent="0.15">
      <c r="A19">
        <f>ROW()</f>
        <v>19</v>
      </c>
      <c r="B19" s="27" t="s">
        <v>265</v>
      </c>
      <c r="C19" t="str">
        <f t="shared" si="0"/>
        <v>でむかえ</v>
      </c>
      <c r="D19" t="str">
        <f t="shared" si="1"/>
        <v>（出迎え）</v>
      </c>
      <c r="E19" t="str">
        <f t="shared" si="2"/>
        <v xml:space="preserve"> 〔名〕 迎接</v>
      </c>
    </row>
    <row r="20" spans="1:5" ht="12.75" customHeight="1" x14ac:dyDescent="0.15">
      <c r="A20">
        <f>ROW()</f>
        <v>20</v>
      </c>
      <c r="B20" s="27" t="s">
        <v>266</v>
      </c>
      <c r="C20" t="str">
        <f t="shared" si="0"/>
        <v>あのひと</v>
      </c>
      <c r="D20" t="str">
        <f t="shared" si="1"/>
        <v>（あの人）</v>
      </c>
      <c r="E20" t="str">
        <f t="shared" si="2"/>
        <v xml:space="preserve"> 〔名〕 那个人</v>
      </c>
    </row>
    <row r="21" spans="1:5" ht="12.75" customHeight="1" x14ac:dyDescent="0.15">
      <c r="A21">
        <f>ROW()</f>
        <v>21</v>
      </c>
      <c r="B21" s="27" t="s">
        <v>267</v>
      </c>
      <c r="C21" t="str">
        <f t="shared" ref="C21:C26" si="3">LEFT(B21,FIND("〔",B21)-1)</f>
        <v xml:space="preserve">わたし </v>
      </c>
      <c r="E21" t="s">
        <v>1302</v>
      </c>
    </row>
    <row r="22" spans="1:5" ht="12.75" customHeight="1" x14ac:dyDescent="0.15">
      <c r="A22">
        <f>ROW()</f>
        <v>22</v>
      </c>
      <c r="B22" s="27" t="s">
        <v>1298</v>
      </c>
      <c r="C22" t="str">
        <f t="shared" si="3"/>
        <v xml:space="preserve">あなた </v>
      </c>
      <c r="E22" t="str">
        <f>RIGHT(B22,LEN(B22)-FIND("〔",B22)+1)</f>
        <v>〔代〕 你</v>
      </c>
    </row>
    <row r="23" spans="1:5" ht="12.75" customHeight="1" x14ac:dyDescent="0.15">
      <c r="A23">
        <f>ROW()</f>
        <v>23</v>
      </c>
      <c r="B23" s="27" t="s">
        <v>268</v>
      </c>
      <c r="C23" t="str">
        <f t="shared" si="3"/>
        <v xml:space="preserve">どうも </v>
      </c>
      <c r="E23" t="str">
        <f>RIGHT(B23,LEN(B23)-FIND("〔",B23)+1)</f>
        <v>〔副〕 非常，很</v>
      </c>
    </row>
    <row r="24" spans="1:5" ht="12.75" customHeight="1" x14ac:dyDescent="0.15">
      <c r="A24">
        <f>ROW()</f>
        <v>24</v>
      </c>
      <c r="B24" s="27" t="s">
        <v>269</v>
      </c>
      <c r="C24" t="str">
        <f t="shared" si="3"/>
        <v xml:space="preserve">はい </v>
      </c>
      <c r="E24" t="str">
        <f>RIGHT(B24,LEN(B24)-FIND("〔",B24)+1)</f>
        <v>〔叹〕 哎，是（应答）；是的</v>
      </c>
    </row>
    <row r="25" spans="1:5" ht="12.75" customHeight="1" x14ac:dyDescent="0.15">
      <c r="A25">
        <f>ROW()</f>
        <v>25</v>
      </c>
      <c r="B25" s="27" t="s">
        <v>270</v>
      </c>
      <c r="C25" t="str">
        <f t="shared" si="3"/>
        <v xml:space="preserve">いいえ </v>
      </c>
      <c r="E25" t="str">
        <f>RIGHT(B25,LEN(B25)-FIND("〔",B25)+1)</f>
        <v>〔叹〕 不，不是</v>
      </c>
    </row>
    <row r="26" spans="1:5" ht="12.75" customHeight="1" x14ac:dyDescent="0.15">
      <c r="A26">
        <f>ROW()</f>
        <v>26</v>
      </c>
      <c r="B26" s="27" t="s">
        <v>271</v>
      </c>
      <c r="C26" t="str">
        <f t="shared" si="3"/>
        <v xml:space="preserve">あっ </v>
      </c>
      <c r="E26" t="str">
        <f>RIGHT(B26,LEN(B26)-FIND("〔",B26)+1)</f>
        <v>〔叹〕 哎，哎呀</v>
      </c>
    </row>
    <row r="27" spans="1:5" ht="12.75" customHeight="1" x14ac:dyDescent="0.15">
      <c r="A27">
        <f>ROW()</f>
        <v>27</v>
      </c>
      <c r="B27" s="27" t="s">
        <v>272</v>
      </c>
      <c r="C27" t="str">
        <f t="shared" si="0"/>
        <v>り</v>
      </c>
      <c r="D27" t="str">
        <f t="shared" si="1"/>
        <v>（李）</v>
      </c>
      <c r="E27" t="str">
        <f t="shared" si="2"/>
        <v xml:space="preserve"> 〔专〕 李</v>
      </c>
    </row>
    <row r="28" spans="1:5" ht="12.75" customHeight="1" x14ac:dyDescent="0.15">
      <c r="A28">
        <f>ROW()</f>
        <v>28</v>
      </c>
      <c r="B28" s="27" t="s">
        <v>273</v>
      </c>
      <c r="C28" t="str">
        <f t="shared" si="0"/>
        <v>おう</v>
      </c>
      <c r="D28" t="str">
        <f t="shared" si="1"/>
        <v>（王）</v>
      </c>
      <c r="E28" t="str">
        <f t="shared" si="2"/>
        <v xml:space="preserve"> 〔专〕 王</v>
      </c>
    </row>
    <row r="29" spans="1:5" ht="12.75" customHeight="1" x14ac:dyDescent="0.15">
      <c r="A29">
        <f>ROW()</f>
        <v>29</v>
      </c>
      <c r="B29" s="27" t="s">
        <v>274</v>
      </c>
      <c r="C29" t="str">
        <f t="shared" si="0"/>
        <v>ちょう</v>
      </c>
      <c r="D29" t="str">
        <f t="shared" si="1"/>
        <v>（張）</v>
      </c>
      <c r="E29" t="str">
        <f t="shared" si="2"/>
        <v xml:space="preserve"> 〔专〕 张</v>
      </c>
    </row>
    <row r="30" spans="1:5" x14ac:dyDescent="0.15">
      <c r="A30">
        <f>ROW()</f>
        <v>30</v>
      </c>
      <c r="B30" s="27" t="s">
        <v>275</v>
      </c>
      <c r="C30" t="str">
        <f t="shared" si="0"/>
        <v>もり</v>
      </c>
      <c r="D30" t="str">
        <f t="shared" si="1"/>
        <v>（森）</v>
      </c>
      <c r="E30" t="str">
        <f t="shared" si="2"/>
        <v xml:space="preserve"> 〔专〕 森</v>
      </c>
    </row>
    <row r="31" spans="1:5" x14ac:dyDescent="0.15">
      <c r="A31">
        <f>ROW()</f>
        <v>31</v>
      </c>
      <c r="B31" s="27" t="s">
        <v>276</v>
      </c>
      <c r="C31" t="str">
        <f t="shared" si="0"/>
        <v>はやし</v>
      </c>
      <c r="D31" t="str">
        <f t="shared" si="1"/>
        <v>（林）</v>
      </c>
      <c r="E31" t="str">
        <f t="shared" si="2"/>
        <v xml:space="preserve"> 〔专〕 林</v>
      </c>
    </row>
    <row r="32" spans="1:5" x14ac:dyDescent="0.15">
      <c r="A32">
        <f>ROW()</f>
        <v>32</v>
      </c>
      <c r="B32" s="27" t="s">
        <v>277</v>
      </c>
      <c r="C32" t="str">
        <f t="shared" si="0"/>
        <v>おの</v>
      </c>
      <c r="D32" t="str">
        <f t="shared" si="1"/>
        <v>（小野）</v>
      </c>
      <c r="E32" t="str">
        <f t="shared" si="2"/>
        <v xml:space="preserve"> 〔专〕 小野</v>
      </c>
    </row>
    <row r="33" spans="1:5" x14ac:dyDescent="0.15">
      <c r="A33">
        <f>ROW()</f>
        <v>33</v>
      </c>
      <c r="B33" s="27" t="s">
        <v>278</v>
      </c>
      <c r="C33" t="str">
        <f t="shared" si="0"/>
        <v>よしだ</v>
      </c>
      <c r="D33" t="str">
        <f t="shared" si="1"/>
        <v>（吉田）</v>
      </c>
      <c r="E33" t="str">
        <f t="shared" si="2"/>
        <v xml:space="preserve"> 〔专〕 吉田</v>
      </c>
    </row>
    <row r="34" spans="1:5" x14ac:dyDescent="0.15">
      <c r="A34">
        <f>ROW()</f>
        <v>34</v>
      </c>
      <c r="B34" s="27" t="s">
        <v>279</v>
      </c>
      <c r="C34" t="str">
        <f t="shared" si="0"/>
        <v>たなか</v>
      </c>
      <c r="D34" t="str">
        <f t="shared" si="1"/>
        <v>（田中）</v>
      </c>
      <c r="E34" t="str">
        <f t="shared" si="2"/>
        <v xml:space="preserve"> 〔专〕 田中</v>
      </c>
    </row>
    <row r="35" spans="1:5" x14ac:dyDescent="0.15">
      <c r="A35">
        <f>ROW()</f>
        <v>35</v>
      </c>
      <c r="B35" s="27" t="s">
        <v>280</v>
      </c>
      <c r="C35" t="str">
        <f t="shared" si="0"/>
        <v>なかむら</v>
      </c>
      <c r="D35" t="str">
        <f t="shared" si="1"/>
        <v>（中村）</v>
      </c>
      <c r="E35" t="str">
        <f t="shared" si="2"/>
        <v xml:space="preserve"> 〔专〕 中村</v>
      </c>
    </row>
    <row r="36" spans="1:5" x14ac:dyDescent="0.15">
      <c r="A36">
        <f>ROW()</f>
        <v>36</v>
      </c>
      <c r="B36" s="27" t="s">
        <v>281</v>
      </c>
      <c r="C36" t="str">
        <f t="shared" si="0"/>
        <v>たろう</v>
      </c>
      <c r="D36" t="str">
        <f t="shared" si="1"/>
        <v>（太郎）</v>
      </c>
      <c r="E36" t="str">
        <f t="shared" si="2"/>
        <v xml:space="preserve"> 〔专〕 太郎</v>
      </c>
    </row>
    <row r="37" spans="1:5" x14ac:dyDescent="0.15">
      <c r="A37">
        <f>ROW()</f>
        <v>37</v>
      </c>
      <c r="B37" s="27" t="s">
        <v>282</v>
      </c>
      <c r="C37" t="str">
        <f t="shared" si="0"/>
        <v>キム</v>
      </c>
      <c r="D37" t="str">
        <f t="shared" si="1"/>
        <v>（金）</v>
      </c>
      <c r="E37" t="str">
        <f t="shared" si="2"/>
        <v xml:space="preserve"> 〔专〕 金</v>
      </c>
    </row>
    <row r="38" spans="1:5" x14ac:dyDescent="0.15">
      <c r="A38">
        <f>ROW()</f>
        <v>38</v>
      </c>
      <c r="B38" s="27" t="s">
        <v>283</v>
      </c>
      <c r="C38" t="str">
        <f>LEFT(B38,FIND("〔",B38)-1)</f>
        <v xml:space="preserve">デュポン </v>
      </c>
      <c r="E38" t="str">
        <f>RIGHT(B38,LEN(B38)-FIND("〔",B38)+1)</f>
        <v>〔专〕 迪蓬</v>
      </c>
    </row>
    <row r="39" spans="1:5" x14ac:dyDescent="0.15">
      <c r="A39">
        <f>ROW()</f>
        <v>39</v>
      </c>
      <c r="B39" s="27" t="s">
        <v>284</v>
      </c>
      <c r="C39" t="str">
        <f>LEFT(B39,FIND("〔",B39)-1)</f>
        <v xml:space="preserve">スミス </v>
      </c>
      <c r="E39" t="str">
        <f>RIGHT(B39,LEN(B39)-FIND("〔",B39)+1)</f>
        <v>〔专〕 史密斯</v>
      </c>
    </row>
    <row r="40" spans="1:5" x14ac:dyDescent="0.15">
      <c r="A40">
        <f>ROW()</f>
        <v>40</v>
      </c>
      <c r="B40" s="27" t="s">
        <v>285</v>
      </c>
      <c r="C40" t="str">
        <f>LEFT(B40,FIND("〔",B40)-1)</f>
        <v xml:space="preserve">ジョンソン </v>
      </c>
      <c r="E40" t="str">
        <f>RIGHT(B40,LEN(B40)-FIND("〔",B40)+1)</f>
        <v>〔专〕 约翰逊</v>
      </c>
    </row>
    <row r="41" spans="1:5" x14ac:dyDescent="0.15">
      <c r="A41">
        <f>ROW()</f>
        <v>41</v>
      </c>
      <c r="B41" s="27" t="s">
        <v>286</v>
      </c>
      <c r="C41" t="str">
        <f t="shared" si="0"/>
        <v>ちゅうごく</v>
      </c>
      <c r="D41" t="str">
        <f t="shared" si="1"/>
        <v>（中国）</v>
      </c>
      <c r="E41" t="str">
        <f t="shared" si="2"/>
        <v xml:space="preserve"> 〔专〕 中国</v>
      </c>
    </row>
    <row r="42" spans="1:5" x14ac:dyDescent="0.15">
      <c r="A42">
        <f>ROW()</f>
        <v>42</v>
      </c>
      <c r="B42" s="27" t="s">
        <v>287</v>
      </c>
      <c r="C42" t="str">
        <f t="shared" si="0"/>
        <v>とうきょうだいがく</v>
      </c>
      <c r="D42" t="str">
        <f t="shared" si="1"/>
        <v>（東京大学）</v>
      </c>
      <c r="E42" t="str">
        <f t="shared" si="2"/>
        <v xml:space="preserve"> 〔专〕 东京大学</v>
      </c>
    </row>
    <row r="43" spans="1:5" x14ac:dyDescent="0.15">
      <c r="A43">
        <f>ROW()</f>
        <v>43</v>
      </c>
      <c r="B43" s="27" t="s">
        <v>288</v>
      </c>
      <c r="C43" t="str">
        <f t="shared" si="0"/>
        <v>ペキンだいがく</v>
      </c>
      <c r="D43" t="str">
        <f t="shared" si="1"/>
        <v>（北京大学）</v>
      </c>
      <c r="E43" t="str">
        <f t="shared" si="2"/>
        <v xml:space="preserve"> 〔专〕 北京大学</v>
      </c>
    </row>
    <row r="44" spans="1:5" x14ac:dyDescent="0.15">
      <c r="A44">
        <f>ROW()</f>
        <v>44</v>
      </c>
      <c r="B44" s="27" t="s">
        <v>289</v>
      </c>
      <c r="C44" t="str">
        <f t="shared" si="0"/>
        <v>ジェーシーきかく</v>
      </c>
      <c r="D44" t="str">
        <f t="shared" si="1"/>
        <v>（ＪＣ企画）</v>
      </c>
      <c r="E44" t="str">
        <f t="shared" si="2"/>
        <v xml:space="preserve"> 〔专〕 JC策划公司</v>
      </c>
    </row>
    <row r="45" spans="1:5" x14ac:dyDescent="0.15">
      <c r="A45">
        <f>ROW()</f>
        <v>45</v>
      </c>
      <c r="B45" s="27" t="s">
        <v>1296</v>
      </c>
      <c r="C45" t="str">
        <f t="shared" si="0"/>
        <v>ペキンりょこうしゃ</v>
      </c>
      <c r="D45" t="str">
        <f t="shared" si="1"/>
        <v>（北京旅行社）</v>
      </c>
      <c r="E45" t="str">
        <f t="shared" si="2"/>
        <v xml:space="preserve"> 〔专〕 北京旅行社</v>
      </c>
    </row>
    <row r="46" spans="1:5" x14ac:dyDescent="0.15">
      <c r="A46">
        <f>ROW()</f>
        <v>46</v>
      </c>
      <c r="B46" s="27" t="s">
        <v>290</v>
      </c>
      <c r="C46" t="str">
        <f t="shared" si="0"/>
        <v>にっちゅうしょうじ</v>
      </c>
      <c r="D46" t="str">
        <f t="shared" si="1"/>
        <v>（日中商事）</v>
      </c>
      <c r="E46" t="str">
        <f t="shared" si="2"/>
        <v xml:space="preserve"> 〔专〕 日中商社</v>
      </c>
    </row>
    <row r="47" spans="1:5" x14ac:dyDescent="0.15">
      <c r="A47">
        <f>ROW()</f>
        <v>47</v>
      </c>
      <c r="B47" s="27" t="s">
        <v>291</v>
      </c>
      <c r="C47" t="str">
        <f>LEFT(B47,FIND(" ",B47)-1)</f>
        <v>こんにちは</v>
      </c>
      <c r="E47" t="str">
        <f>RIGHT(B47,LEN(B47)-FIND(" ",B47)+1)</f>
        <v xml:space="preserve"> 你好</v>
      </c>
    </row>
    <row r="48" spans="1:5" x14ac:dyDescent="0.15">
      <c r="A48">
        <f>ROW()</f>
        <v>48</v>
      </c>
      <c r="B48" s="27" t="s">
        <v>292</v>
      </c>
      <c r="C48" t="str">
        <f>LEFT(B48,FIND(" ",B48)-1)</f>
        <v>すみません</v>
      </c>
      <c r="E48" t="str">
        <f>RIGHT(B48,LEN(B48)-FIND(" ",B48)+1)</f>
        <v xml:space="preserve"> 对不起，请问</v>
      </c>
    </row>
    <row r="49" spans="1:5" x14ac:dyDescent="0.15">
      <c r="A49">
        <f>ROW()</f>
        <v>49</v>
      </c>
      <c r="B49" s="27" t="s">
        <v>293</v>
      </c>
      <c r="C49" t="str">
        <f>LEFT(B49,FIND(" ",B49)-1)</f>
        <v>どうぞ</v>
      </c>
      <c r="E49" t="str">
        <f>RIGHT(B49,LEN(B49)-FIND(" ",B49)+1)</f>
        <v xml:space="preserve"> 请</v>
      </c>
    </row>
    <row r="50" spans="1:5" x14ac:dyDescent="0.15">
      <c r="A50">
        <f>ROW()</f>
        <v>50</v>
      </c>
      <c r="B50" s="27" t="s">
        <v>1297</v>
      </c>
      <c r="C50" t="str">
        <f t="shared" si="0"/>
        <v>よろしくおねがいします</v>
      </c>
      <c r="D50" t="str">
        <f t="shared" si="1"/>
        <v>（～お願いします）</v>
      </c>
      <c r="E50" t="str">
        <f t="shared" si="2"/>
        <v xml:space="preserve">    请多关照</v>
      </c>
    </row>
    <row r="51" spans="1:5" x14ac:dyDescent="0.15">
      <c r="A51">
        <f>ROW()</f>
        <v>51</v>
      </c>
      <c r="B51" s="27" t="s">
        <v>294</v>
      </c>
      <c r="C51" t="str">
        <f>LEFT(B51,FIND(" ",B51)-1)</f>
        <v>はじめまして</v>
      </c>
      <c r="E51" t="str">
        <f>RIGHT(B51,LEN(B51)-FIND(" ",B51)+1)</f>
        <v xml:space="preserve"> 初次见面</v>
      </c>
    </row>
    <row r="52" spans="1:5" x14ac:dyDescent="0.15">
      <c r="A52">
        <f>ROW()</f>
        <v>52</v>
      </c>
      <c r="B52" s="27" t="s">
        <v>295</v>
      </c>
      <c r="C52" t="str">
        <f>LEFT(B52,FIND(" ",B52)-1)</f>
        <v>こちらこそ</v>
      </c>
      <c r="E52" t="str">
        <f>RIGHT(B52,LEN(B52)-FIND(" ",B52))</f>
        <v>我才要（请您～）</v>
      </c>
    </row>
    <row r="53" spans="1:5" x14ac:dyDescent="0.15">
      <c r="A53">
        <f>ROW()</f>
        <v>53</v>
      </c>
      <c r="B53" s="27" t="s">
        <v>296</v>
      </c>
      <c r="C53" t="str">
        <f>LEFT(B53,FIND(" ",B53)-1)</f>
        <v>そうてす</v>
      </c>
      <c r="E53" t="str">
        <f>RIGHT(B53,LEN(B53)-FIND(" ",B53))</f>
        <v>是（这样）</v>
      </c>
    </row>
    <row r="54" spans="1:5" x14ac:dyDescent="0.15">
      <c r="A54">
        <f>ROW()</f>
        <v>54</v>
      </c>
      <c r="B54" s="27" t="s">
        <v>297</v>
      </c>
      <c r="C54" t="str">
        <f>LEFT(B54,FIND(" ",B54)-1)</f>
        <v>ちがいます</v>
      </c>
      <c r="E54" t="str">
        <f>RIGHT(B54,LEN(B54)-FIND(" ",B54)+1)</f>
        <v xml:space="preserve"> 不是</v>
      </c>
    </row>
    <row r="55" spans="1:5" x14ac:dyDescent="0.15">
      <c r="A55">
        <f>ROW()</f>
        <v>55</v>
      </c>
      <c r="B55" s="27" t="s">
        <v>298</v>
      </c>
      <c r="C55" t="str">
        <f t="shared" si="0"/>
        <v>わかりません</v>
      </c>
      <c r="D55" t="str">
        <f t="shared" si="1"/>
        <v>（分かりません）</v>
      </c>
      <c r="E55" t="str">
        <f t="shared" si="2"/>
        <v xml:space="preserve"> 不知道</v>
      </c>
    </row>
    <row r="56" spans="1:5" x14ac:dyDescent="0.15">
      <c r="A56">
        <f>ROW()</f>
        <v>56</v>
      </c>
      <c r="B56" s="27" t="s">
        <v>299</v>
      </c>
      <c r="C56" t="str">
        <f>LEFT(B56,FIND(" ",B56)-1)</f>
        <v>どうもすみません</v>
      </c>
      <c r="E56" t="str">
        <f>RIGHT(B56,LEN(B56)-FIND(" ",B56)+1)</f>
        <v xml:space="preserve"> 实在对不起</v>
      </c>
    </row>
    <row r="57" spans="1:5" x14ac:dyDescent="0.15">
      <c r="A57">
        <f>ROW()</f>
        <v>57</v>
      </c>
      <c r="B57" s="27" t="s">
        <v>300</v>
      </c>
      <c r="C57" t="str">
        <f t="shared" si="0"/>
        <v>ほん</v>
      </c>
      <c r="D57" t="str">
        <f t="shared" si="1"/>
        <v>（本）</v>
      </c>
      <c r="E57" t="str">
        <f t="shared" si="2"/>
        <v xml:space="preserve"> 〔名〕 书</v>
      </c>
    </row>
    <row r="58" spans="1:5" x14ac:dyDescent="0.15">
      <c r="A58">
        <f>ROW()</f>
        <v>58</v>
      </c>
      <c r="B58" s="27" t="s">
        <v>301</v>
      </c>
      <c r="C58" t="str">
        <f>LEFT(B58,FIND("〔",B58)-1)</f>
        <v xml:space="preserve">かばん </v>
      </c>
      <c r="E58" t="str">
        <f>RIGHT(B58,LEN(B58)-FIND("〔",B58)+1)</f>
        <v>〔名〕 包，公文包</v>
      </c>
    </row>
    <row r="59" spans="1:5" x14ac:dyDescent="0.15">
      <c r="A59">
        <f>ROW()</f>
        <v>59</v>
      </c>
      <c r="B59" s="27" t="s">
        <v>302</v>
      </c>
      <c r="C59" t="str">
        <f>LEFT(B59,FIND("〔",B59)-1)</f>
        <v xml:space="preserve">ノント </v>
      </c>
      <c r="E59" t="str">
        <f>RIGHT(B59,LEN(B59)-FIND("〔",B59)+1)</f>
        <v>〔名〕 笔记本，本子</v>
      </c>
    </row>
    <row r="60" spans="1:5" x14ac:dyDescent="0.15">
      <c r="A60">
        <f>ROW()</f>
        <v>60</v>
      </c>
      <c r="B60" s="27" t="s">
        <v>303</v>
      </c>
      <c r="C60" t="str">
        <f t="shared" si="0"/>
        <v>えんぴつ</v>
      </c>
      <c r="D60" t="str">
        <f t="shared" si="1"/>
        <v>（鉛筆）</v>
      </c>
      <c r="E60" t="str">
        <f t="shared" si="2"/>
        <v xml:space="preserve"> 〔名〕 铅笔</v>
      </c>
    </row>
    <row r="61" spans="1:5" x14ac:dyDescent="0.15">
      <c r="A61">
        <f>ROW()</f>
        <v>61</v>
      </c>
      <c r="B61" s="27" t="s">
        <v>304</v>
      </c>
      <c r="C61" t="str">
        <f t="shared" ref="C61:C119" si="4">LEFT(B61,FIND("（",B61)-1)</f>
        <v>かさ</v>
      </c>
      <c r="D61" t="str">
        <f t="shared" ref="D61:D119" si="5">MID(B61,FIND("（",B61),FIND("）",B61)-FIND("（",B61)+1)</f>
        <v>（傘）</v>
      </c>
      <c r="E61" t="str">
        <f t="shared" ref="E61:E119" si="6">RIGHT(B61,LEN(B61)-FIND("）",B61))</f>
        <v xml:space="preserve"> 〔名〕伞</v>
      </c>
    </row>
    <row r="62" spans="1:5" x14ac:dyDescent="0.15">
      <c r="A62">
        <f>ROW()</f>
        <v>62</v>
      </c>
      <c r="B62" s="27" t="s">
        <v>305</v>
      </c>
      <c r="C62" t="str">
        <f t="shared" si="4"/>
        <v>くつ</v>
      </c>
      <c r="D62" t="str">
        <f t="shared" si="5"/>
        <v>（靴）</v>
      </c>
      <c r="E62" t="str">
        <f t="shared" si="6"/>
        <v xml:space="preserve"> 〔名〕鞋</v>
      </c>
    </row>
    <row r="63" spans="1:5" x14ac:dyDescent="0.15">
      <c r="A63">
        <f>ROW()</f>
        <v>63</v>
      </c>
      <c r="B63" s="27" t="s">
        <v>306</v>
      </c>
      <c r="C63" t="str">
        <f t="shared" si="4"/>
        <v>しんぶん</v>
      </c>
      <c r="D63" t="str">
        <f t="shared" si="5"/>
        <v>（新聞）</v>
      </c>
      <c r="E63" t="str">
        <f t="shared" si="6"/>
        <v xml:space="preserve"> 〔名〕 报纸</v>
      </c>
    </row>
    <row r="64" spans="1:5" x14ac:dyDescent="0.15">
      <c r="A64">
        <f>ROW()</f>
        <v>64</v>
      </c>
      <c r="B64" s="27" t="s">
        <v>307</v>
      </c>
      <c r="C64" t="str">
        <f t="shared" si="4"/>
        <v>ざっし</v>
      </c>
      <c r="D64" t="str">
        <f t="shared" si="5"/>
        <v>（雑誌）</v>
      </c>
      <c r="E64" t="str">
        <f t="shared" si="6"/>
        <v xml:space="preserve"> 〔名〕 杂志</v>
      </c>
    </row>
    <row r="65" spans="1:5" x14ac:dyDescent="0.15">
      <c r="A65">
        <f>ROW()</f>
        <v>65</v>
      </c>
      <c r="B65" s="27" t="s">
        <v>308</v>
      </c>
      <c r="C65" t="str">
        <f t="shared" si="4"/>
        <v>じしょ</v>
      </c>
      <c r="D65" t="str">
        <f t="shared" si="5"/>
        <v>（辞書）</v>
      </c>
      <c r="E65" t="str">
        <f t="shared" si="6"/>
        <v xml:space="preserve"> 〔名〕 词典</v>
      </c>
    </row>
    <row r="66" spans="1:5" x14ac:dyDescent="0.15">
      <c r="A66">
        <f>ROW()</f>
        <v>66</v>
      </c>
      <c r="B66" s="27" t="s">
        <v>309</v>
      </c>
      <c r="C66" t="str">
        <f>LEFT(B66,FIND("〔",B66)-1)</f>
        <v xml:space="preserve">カメラ </v>
      </c>
      <c r="E66" t="str">
        <f>RIGHT(B66,LEN(B66)-FIND("〔",B66)+1)</f>
        <v>〔名〕 照相机</v>
      </c>
    </row>
    <row r="67" spans="1:5" x14ac:dyDescent="0.15">
      <c r="A67">
        <f>ROW()</f>
        <v>67</v>
      </c>
      <c r="B67" s="27" t="s">
        <v>310</v>
      </c>
      <c r="C67" t="str">
        <f>LEFT(B67,FIND("〔",B67)-1)</f>
        <v xml:space="preserve">テレビ </v>
      </c>
      <c r="E67" t="str">
        <f>RIGHT(B67,LEN(B67)-FIND("〔",B67)+1)</f>
        <v>〔名〕 电视机</v>
      </c>
    </row>
    <row r="68" spans="1:5" x14ac:dyDescent="0.15">
      <c r="A68">
        <f>ROW()</f>
        <v>68</v>
      </c>
      <c r="B68" s="27" t="s">
        <v>311</v>
      </c>
      <c r="C68" t="str">
        <f>LEFT(B68,FIND("〔",B68)-1)</f>
        <v xml:space="preserve">パソコン </v>
      </c>
      <c r="E68" t="str">
        <f>RIGHT(B68,LEN(B68)-FIND("〔",B68)+1)</f>
        <v>〔名〕 个人电脑</v>
      </c>
    </row>
    <row r="69" spans="1:5" x14ac:dyDescent="0.15">
      <c r="A69">
        <f>ROW()</f>
        <v>69</v>
      </c>
      <c r="B69" s="27" t="s">
        <v>312</v>
      </c>
      <c r="C69" t="str">
        <f>LEFT(B69,FIND("〔",B69)-1)</f>
        <v xml:space="preserve">ラジオ </v>
      </c>
      <c r="E69" t="str">
        <f>RIGHT(B69,LEN(B69)-FIND("〔",B69)+1)</f>
        <v>〔名〕 收音机</v>
      </c>
    </row>
    <row r="70" spans="1:5" x14ac:dyDescent="0.15">
      <c r="A70">
        <f>ROW()</f>
        <v>70</v>
      </c>
      <c r="B70" s="27" t="s">
        <v>313</v>
      </c>
      <c r="C70" t="str">
        <f t="shared" si="4"/>
        <v>でんわ</v>
      </c>
      <c r="D70" t="str">
        <f t="shared" si="5"/>
        <v>（電話）</v>
      </c>
      <c r="E70" t="str">
        <f t="shared" si="6"/>
        <v xml:space="preserve"> 〔名〕 电话</v>
      </c>
    </row>
    <row r="71" spans="1:5" x14ac:dyDescent="0.15">
      <c r="A71">
        <f>ROW()</f>
        <v>71</v>
      </c>
      <c r="B71" s="27" t="s">
        <v>314</v>
      </c>
      <c r="C71" t="str">
        <f t="shared" si="4"/>
        <v>つくえ</v>
      </c>
      <c r="D71" t="str">
        <f t="shared" si="5"/>
        <v>（机）</v>
      </c>
      <c r="E71" t="str">
        <f t="shared" si="6"/>
        <v xml:space="preserve"> 〔名〕 桌子，书桌</v>
      </c>
    </row>
    <row r="72" spans="1:5" x14ac:dyDescent="0.15">
      <c r="A72">
        <f>ROW()</f>
        <v>72</v>
      </c>
      <c r="B72" s="27" t="s">
        <v>315</v>
      </c>
      <c r="C72" t="str">
        <f>LEFT(B72,FIND("〔",B72)-1)</f>
        <v xml:space="preserve">いす </v>
      </c>
      <c r="E72" t="str">
        <f>RIGHT(B72,LEN(B72)-FIND("〔",B72)+1)</f>
        <v>〔名〕 椅子</v>
      </c>
    </row>
    <row r="73" spans="1:5" x14ac:dyDescent="0.15">
      <c r="A73">
        <f>ROW()</f>
        <v>73</v>
      </c>
      <c r="B73" s="27" t="s">
        <v>316</v>
      </c>
      <c r="C73" t="str">
        <f>LEFT(B73,FIND("〔",B73)-1)</f>
        <v xml:space="preserve">かぎ </v>
      </c>
      <c r="E73" t="str">
        <f>RIGHT(B73,LEN(B73)-FIND("〔",B73)+1)</f>
        <v>〔名〕 钥匙，锁</v>
      </c>
    </row>
    <row r="74" spans="1:5" x14ac:dyDescent="0.15">
      <c r="A74">
        <f>ROW()</f>
        <v>74</v>
      </c>
      <c r="B74" s="27" t="s">
        <v>317</v>
      </c>
      <c r="C74" t="str">
        <f t="shared" si="4"/>
        <v>とけい</v>
      </c>
      <c r="D74" t="str">
        <f t="shared" si="5"/>
        <v>（時計）</v>
      </c>
      <c r="E74" t="str">
        <f t="shared" si="6"/>
        <v xml:space="preserve"> 〔名〕 钟，表</v>
      </c>
    </row>
    <row r="75" spans="1:5" x14ac:dyDescent="0.15">
      <c r="A75">
        <f>ROW()</f>
        <v>75</v>
      </c>
      <c r="B75" s="27" t="s">
        <v>318</v>
      </c>
      <c r="C75" t="str">
        <f t="shared" si="4"/>
        <v>てちょう</v>
      </c>
      <c r="D75" t="str">
        <f t="shared" si="5"/>
        <v>（手帳）</v>
      </c>
      <c r="E75" t="str">
        <f t="shared" si="6"/>
        <v xml:space="preserve"> 〔名〕 记事本</v>
      </c>
    </row>
    <row r="76" spans="1:5" x14ac:dyDescent="0.15">
      <c r="A76">
        <f>ROW()</f>
        <v>76</v>
      </c>
      <c r="B76" s="27" t="s">
        <v>319</v>
      </c>
      <c r="C76" t="str">
        <f t="shared" si="4"/>
        <v>しゃしん</v>
      </c>
      <c r="D76" t="str">
        <f t="shared" si="5"/>
        <v>（写真）</v>
      </c>
      <c r="E76" t="str">
        <f t="shared" si="6"/>
        <v xml:space="preserve"> 〔名〕 照片</v>
      </c>
    </row>
    <row r="77" spans="1:5" x14ac:dyDescent="0.15">
      <c r="A77">
        <f>ROW()</f>
        <v>77</v>
      </c>
      <c r="B77" s="27" t="s">
        <v>320</v>
      </c>
      <c r="C77" t="str">
        <f t="shared" si="4"/>
        <v>くるま</v>
      </c>
      <c r="D77" t="str">
        <f t="shared" si="5"/>
        <v>（車）</v>
      </c>
      <c r="E77" t="str">
        <f t="shared" si="6"/>
        <v xml:space="preserve"> 〔名〕 车</v>
      </c>
    </row>
    <row r="78" spans="1:5" x14ac:dyDescent="0.15">
      <c r="A78">
        <f>ROW()</f>
        <v>78</v>
      </c>
      <c r="B78" s="27" t="s">
        <v>321</v>
      </c>
      <c r="C78" t="str">
        <f t="shared" si="4"/>
        <v>じてんしゃ</v>
      </c>
      <c r="D78" t="str">
        <f t="shared" si="5"/>
        <v>（自転車）</v>
      </c>
      <c r="E78" t="str">
        <f t="shared" si="6"/>
        <v xml:space="preserve"> 〔名〕 自行车</v>
      </c>
    </row>
    <row r="79" spans="1:5" x14ac:dyDescent="0.15">
      <c r="A79">
        <f>ROW()</f>
        <v>79</v>
      </c>
      <c r="B79" s="27" t="s">
        <v>322</v>
      </c>
      <c r="C79" t="str">
        <f t="shared" si="4"/>
        <v>おみやげ</v>
      </c>
      <c r="D79" t="str">
        <f t="shared" si="5"/>
        <v>（お土産）</v>
      </c>
      <c r="E79" t="str">
        <f t="shared" si="6"/>
        <v xml:space="preserve"> 〔名〕 礼物</v>
      </c>
    </row>
    <row r="80" spans="1:5" x14ac:dyDescent="0.15">
      <c r="A80">
        <f>ROW()</f>
        <v>80</v>
      </c>
      <c r="B80" s="27" t="s">
        <v>323</v>
      </c>
      <c r="C80" t="str">
        <f t="shared" si="4"/>
        <v>めいさんひん</v>
      </c>
      <c r="D80" t="str">
        <f t="shared" si="5"/>
        <v>（名産品）</v>
      </c>
      <c r="E80" t="str">
        <f t="shared" si="6"/>
        <v xml:space="preserve"> 〔名〕 特产，名产</v>
      </c>
    </row>
    <row r="81" spans="1:5" x14ac:dyDescent="0.15">
      <c r="A81">
        <f>ROW()</f>
        <v>81</v>
      </c>
      <c r="B81" s="27" t="s">
        <v>324</v>
      </c>
      <c r="C81" t="str">
        <f>LEFT(B81,FIND("〔",B81)-1)</f>
        <v xml:space="preserve">シルク </v>
      </c>
      <c r="E81" t="str">
        <f>RIGHT(B81,LEN(B81)-FIND("〔",B81)+1)</f>
        <v>〔名〕 丝绸</v>
      </c>
    </row>
    <row r="82" spans="1:5" x14ac:dyDescent="0.15">
      <c r="A82">
        <f>ROW()</f>
        <v>82</v>
      </c>
      <c r="B82" s="27" t="s">
        <v>325</v>
      </c>
      <c r="C82" t="str">
        <f>LEFT(B82,FIND("〔",B82)-1)</f>
        <v xml:space="preserve">ハンカチ </v>
      </c>
      <c r="E82" t="str">
        <f>RIGHT(B82,LEN(B82)-FIND("〔",B82)+1)</f>
        <v>〔名〕 手绢</v>
      </c>
    </row>
    <row r="83" spans="1:5" x14ac:dyDescent="0.15">
      <c r="A83">
        <f>ROW()</f>
        <v>83</v>
      </c>
      <c r="B83" s="27" t="s">
        <v>326</v>
      </c>
      <c r="C83" t="str">
        <f t="shared" si="4"/>
        <v>かいしゃ</v>
      </c>
      <c r="D83" t="str">
        <f t="shared" si="5"/>
        <v>（会社）</v>
      </c>
      <c r="E83" t="str">
        <f t="shared" si="6"/>
        <v xml:space="preserve"> 〔名〕 公司</v>
      </c>
    </row>
    <row r="84" spans="1:5" x14ac:dyDescent="0.15">
      <c r="A84">
        <f>ROW()</f>
        <v>84</v>
      </c>
      <c r="B84" s="27" t="s">
        <v>327</v>
      </c>
      <c r="C84" t="str">
        <f t="shared" si="4"/>
        <v>かた</v>
      </c>
      <c r="D84" t="str">
        <f t="shared" si="5"/>
        <v>（方）</v>
      </c>
      <c r="E84" t="str">
        <f t="shared" si="6"/>
        <v xml:space="preserve"> 〔名〕 （敬称）位，人</v>
      </c>
    </row>
    <row r="85" spans="1:5" x14ac:dyDescent="0.15">
      <c r="A85">
        <f>ROW()</f>
        <v>85</v>
      </c>
      <c r="B85" s="27" t="s">
        <v>328</v>
      </c>
      <c r="C85" t="str">
        <f t="shared" si="4"/>
        <v>ひと</v>
      </c>
      <c r="D85" t="str">
        <f t="shared" si="5"/>
        <v>（人）</v>
      </c>
      <c r="E85" t="str">
        <f t="shared" si="6"/>
        <v xml:space="preserve"> 〔名〕 人</v>
      </c>
    </row>
    <row r="86" spans="1:5" x14ac:dyDescent="0.15">
      <c r="A86">
        <f>ROW()</f>
        <v>86</v>
      </c>
      <c r="B86" s="27" t="s">
        <v>329</v>
      </c>
      <c r="C86" t="str">
        <f t="shared" si="4"/>
        <v>かぞく</v>
      </c>
      <c r="D86" t="str">
        <f t="shared" si="5"/>
        <v>（家族）</v>
      </c>
      <c r="E86" t="str">
        <f t="shared" si="6"/>
        <v xml:space="preserve"> 〔名〕 家人，家属</v>
      </c>
    </row>
    <row r="87" spans="1:5" x14ac:dyDescent="0.15">
      <c r="A87">
        <f>ROW()</f>
        <v>87</v>
      </c>
      <c r="B87" s="27" t="s">
        <v>330</v>
      </c>
      <c r="C87" t="str">
        <f t="shared" si="4"/>
        <v>はは</v>
      </c>
      <c r="D87" t="str">
        <f t="shared" si="5"/>
        <v>（母）</v>
      </c>
      <c r="E87" t="str">
        <f t="shared" si="6"/>
        <v xml:space="preserve"> 〔名〕 （我）母亲</v>
      </c>
    </row>
    <row r="88" spans="1:5" x14ac:dyDescent="0.15">
      <c r="A88">
        <f>ROW()</f>
        <v>88</v>
      </c>
      <c r="B88" s="27" t="s">
        <v>331</v>
      </c>
      <c r="C88" t="str">
        <f t="shared" si="4"/>
        <v>おかあさん</v>
      </c>
      <c r="D88" t="str">
        <f t="shared" si="5"/>
        <v>（お母さん）</v>
      </c>
      <c r="E88" t="str">
        <f t="shared" si="6"/>
        <v xml:space="preserve"> 〔名〕 母亲</v>
      </c>
    </row>
    <row r="89" spans="1:5" x14ac:dyDescent="0.15">
      <c r="A89">
        <f>ROW()</f>
        <v>89</v>
      </c>
      <c r="B89" s="27" t="s">
        <v>332</v>
      </c>
      <c r="C89" t="str">
        <f t="shared" si="4"/>
        <v>にほんご</v>
      </c>
      <c r="D89" t="str">
        <f t="shared" si="5"/>
        <v>（日本語）</v>
      </c>
      <c r="E89" t="str">
        <f t="shared" si="6"/>
        <v xml:space="preserve"> 〔名〕 日语</v>
      </c>
    </row>
    <row r="90" spans="1:5" x14ac:dyDescent="0.15">
      <c r="A90">
        <f>ROW()</f>
        <v>90</v>
      </c>
      <c r="B90" s="27" t="s">
        <v>333</v>
      </c>
      <c r="C90" t="str">
        <f t="shared" si="4"/>
        <v>ちゅうごくご</v>
      </c>
      <c r="D90" t="str">
        <f t="shared" si="5"/>
        <v>（中国語）</v>
      </c>
      <c r="E90" t="str">
        <f t="shared" si="6"/>
        <v xml:space="preserve"> 〔名〕 汉语，中文</v>
      </c>
    </row>
    <row r="91" spans="1:5" x14ac:dyDescent="0.15">
      <c r="A91">
        <f>ROW()</f>
        <v>91</v>
      </c>
      <c r="B91" s="27" t="s">
        <v>334</v>
      </c>
      <c r="C91" t="str">
        <f>LEFT(B91,FIND("〔",B91)-1)</f>
        <v xml:space="preserve">これ </v>
      </c>
      <c r="E91" t="str">
        <f>RIGHT(B91,LEN(B91)-FIND("〔",B91)+1)</f>
        <v>〔代〕 这，这个</v>
      </c>
    </row>
    <row r="92" spans="1:5" x14ac:dyDescent="0.15">
      <c r="A92">
        <f>ROW()</f>
        <v>92</v>
      </c>
      <c r="B92" s="27" t="s">
        <v>335</v>
      </c>
      <c r="C92" t="str">
        <f>LEFT(B92,FIND("〔",B92)-1)</f>
        <v xml:space="preserve">それ </v>
      </c>
      <c r="E92" t="str">
        <f>RIGHT(B92,LEN(B92)-FIND("〔",B92)+1)</f>
        <v>〔代〕 那，那个</v>
      </c>
    </row>
    <row r="93" spans="1:5" x14ac:dyDescent="0.15">
      <c r="A93">
        <f>ROW()</f>
        <v>93</v>
      </c>
      <c r="B93" s="27" t="s">
        <v>336</v>
      </c>
      <c r="C93" t="str">
        <f>LEFT(B93,FIND("〔",B93)-1)</f>
        <v xml:space="preserve">あれ </v>
      </c>
      <c r="E93" t="str">
        <f>RIGHT(B93,LEN(B93)-FIND("〔",B93)+1)</f>
        <v>〔代〕 那，那个</v>
      </c>
    </row>
    <row r="94" spans="1:5" x14ac:dyDescent="0.15">
      <c r="A94">
        <f>ROW()</f>
        <v>94</v>
      </c>
      <c r="B94" s="27" t="s">
        <v>337</v>
      </c>
      <c r="C94" t="str">
        <f>LEFT(B94,FIND("〔",B94)-1)</f>
        <v xml:space="preserve">どれ </v>
      </c>
      <c r="E94" t="str">
        <f>RIGHT(B94,LEN(B94)-FIND("〔",B94)+1)</f>
        <v>〔疑〕 哪个</v>
      </c>
    </row>
    <row r="95" spans="1:5" x14ac:dyDescent="0.15">
      <c r="A95">
        <f>ROW()</f>
        <v>95</v>
      </c>
      <c r="B95" s="27" t="s">
        <v>338</v>
      </c>
      <c r="C95" t="str">
        <f t="shared" si="4"/>
        <v>なん</v>
      </c>
      <c r="D95" t="str">
        <f t="shared" si="5"/>
        <v>（何）</v>
      </c>
      <c r="E95" t="str">
        <f t="shared" si="6"/>
        <v xml:space="preserve"> 〔疑〕 什么</v>
      </c>
    </row>
    <row r="96" spans="1:5" x14ac:dyDescent="0.15">
      <c r="A96">
        <f>ROW()</f>
        <v>96</v>
      </c>
      <c r="B96" s="27" t="s">
        <v>339</v>
      </c>
      <c r="C96" t="str">
        <f>LEFT(B96,FIND("〔",B96)-1)</f>
        <v xml:space="preserve">だれ </v>
      </c>
      <c r="E96" t="str">
        <f>RIGHT(B96,LEN(B96)-FIND("〔",B96)+1)</f>
        <v>〔疑〕 谁</v>
      </c>
    </row>
    <row r="97" spans="1:5" x14ac:dyDescent="0.15">
      <c r="A97">
        <f>ROW()</f>
        <v>97</v>
      </c>
      <c r="B97" s="27" t="s">
        <v>340</v>
      </c>
      <c r="C97" t="str">
        <f>LEFT(B97,FIND("〔",B97)-1)</f>
        <v xml:space="preserve">どなた </v>
      </c>
      <c r="E97" t="str">
        <f>RIGHT(B97,LEN(B97)-FIND("〔",B97)+1)</f>
        <v>〔疑〕 哪位</v>
      </c>
    </row>
    <row r="98" spans="1:5" x14ac:dyDescent="0.15">
      <c r="A98">
        <f>ROW()</f>
        <v>98</v>
      </c>
      <c r="B98" s="27" t="s">
        <v>341</v>
      </c>
      <c r="C98" t="str">
        <f t="shared" ref="C98:C103" si="7">LEFT(B98,FIND("〔",B98)-1)</f>
        <v xml:space="preserve">この </v>
      </c>
      <c r="E98" t="str">
        <f t="shared" ref="E98:E103" si="8">RIGHT(B98,LEN(B98)-FIND("〔",B98)+1)</f>
        <v>〔连体〕 这，这个</v>
      </c>
    </row>
    <row r="99" spans="1:5" x14ac:dyDescent="0.15">
      <c r="A99">
        <f>ROW()</f>
        <v>99</v>
      </c>
      <c r="B99" s="27" t="s">
        <v>342</v>
      </c>
      <c r="C99" t="str">
        <f t="shared" si="7"/>
        <v xml:space="preserve">その </v>
      </c>
      <c r="E99" t="str">
        <f t="shared" si="8"/>
        <v>〔连体〕 那，那个</v>
      </c>
    </row>
    <row r="100" spans="1:5" x14ac:dyDescent="0.15">
      <c r="A100">
        <f>ROW()</f>
        <v>100</v>
      </c>
      <c r="B100" s="27" t="s">
        <v>343</v>
      </c>
      <c r="C100" t="str">
        <f t="shared" si="7"/>
        <v xml:space="preserve">あの </v>
      </c>
      <c r="E100" t="str">
        <f t="shared" si="8"/>
        <v>〔连体〕 那，那个</v>
      </c>
    </row>
    <row r="101" spans="1:5" x14ac:dyDescent="0.15">
      <c r="A101">
        <f>ROW()</f>
        <v>101</v>
      </c>
      <c r="B101" s="27" t="s">
        <v>344</v>
      </c>
      <c r="C101" t="str">
        <f t="shared" si="7"/>
        <v xml:space="preserve">どの </v>
      </c>
      <c r="E101" t="str">
        <f t="shared" si="8"/>
        <v>〔连体〕 哪个</v>
      </c>
    </row>
    <row r="102" spans="1:5" x14ac:dyDescent="0.15">
      <c r="A102">
        <f>ROW()</f>
        <v>102</v>
      </c>
      <c r="B102" s="27" t="s">
        <v>345</v>
      </c>
      <c r="C102" t="str">
        <f t="shared" si="7"/>
        <v xml:space="preserve">えっ </v>
      </c>
      <c r="E102" t="str">
        <f t="shared" si="8"/>
        <v>〔叹〕 啊</v>
      </c>
    </row>
    <row r="103" spans="1:5" x14ac:dyDescent="0.15">
      <c r="A103">
        <f>ROW()</f>
        <v>103</v>
      </c>
      <c r="B103" s="27" t="s">
        <v>346</v>
      </c>
      <c r="C103" t="str">
        <f t="shared" si="7"/>
        <v xml:space="preserve">わあ </v>
      </c>
      <c r="E103" t="str">
        <f t="shared" si="8"/>
        <v>〔叹〕 哇</v>
      </c>
    </row>
    <row r="104" spans="1:5" x14ac:dyDescent="0.15">
      <c r="A104">
        <f>ROW()</f>
        <v>104</v>
      </c>
      <c r="B104" s="27" t="s">
        <v>347</v>
      </c>
      <c r="C104" t="str">
        <f t="shared" si="4"/>
        <v xml:space="preserve">ええ 〔叹〕 </v>
      </c>
      <c r="D104" t="str">
        <f t="shared" si="5"/>
        <v>（应答）</v>
      </c>
      <c r="E104" t="str">
        <f t="shared" si="6"/>
        <v>嗯，是</v>
      </c>
    </row>
    <row r="105" spans="1:5" x14ac:dyDescent="0.15">
      <c r="A105">
        <f>ROW()</f>
        <v>105</v>
      </c>
      <c r="B105" s="27" t="s">
        <v>348</v>
      </c>
      <c r="C105" t="str">
        <f t="shared" si="4"/>
        <v>ながしま</v>
      </c>
      <c r="D105" t="str">
        <f t="shared" si="5"/>
        <v>（長島）</v>
      </c>
      <c r="E105" t="str">
        <f t="shared" si="6"/>
        <v xml:space="preserve"> 〔专〕 长岛</v>
      </c>
    </row>
    <row r="106" spans="1:5" x14ac:dyDescent="0.15">
      <c r="A106">
        <f>ROW()</f>
        <v>106</v>
      </c>
      <c r="B106" s="27" t="s">
        <v>349</v>
      </c>
      <c r="C106" t="str">
        <f t="shared" si="4"/>
        <v>にほん</v>
      </c>
      <c r="D106" t="str">
        <f t="shared" si="5"/>
        <v>（日本）</v>
      </c>
      <c r="E106" t="str">
        <f t="shared" si="6"/>
        <v xml:space="preserve"> 〔专〕 日本</v>
      </c>
    </row>
    <row r="107" spans="1:5" x14ac:dyDescent="0.15">
      <c r="A107">
        <f>ROW()</f>
        <v>107</v>
      </c>
      <c r="B107" s="27" t="s">
        <v>350</v>
      </c>
      <c r="C107" t="str">
        <f t="shared" ref="C107:C110" si="9">LEFT(B107,FIND("〔",B107)-1)</f>
        <v xml:space="preserve">スワトウ </v>
      </c>
      <c r="E107" t="str">
        <f t="shared" ref="E107:E108" si="10">RIGHT(B107,LEN(B107)-FIND("〔",B107)+1)</f>
        <v>〔专〕 汕头</v>
      </c>
    </row>
    <row r="108" spans="1:5" x14ac:dyDescent="0.15">
      <c r="A108">
        <f>ROW()</f>
        <v>108</v>
      </c>
      <c r="B108" s="27" t="s">
        <v>351</v>
      </c>
      <c r="C108" t="str">
        <f t="shared" si="9"/>
        <v xml:space="preserve">ロンドン </v>
      </c>
      <c r="E108" t="str">
        <f t="shared" si="10"/>
        <v>〔专〕 伦敦</v>
      </c>
    </row>
    <row r="109" spans="1:5" x14ac:dyDescent="0.15">
      <c r="A109">
        <f>ROW()</f>
        <v>109</v>
      </c>
      <c r="B109" s="27" t="s">
        <v>352</v>
      </c>
      <c r="C109" t="str">
        <f>LEFT(B109,FIND(" ",B109)-1)</f>
        <v>おいくつ</v>
      </c>
      <c r="E109" t="str">
        <f>RIGHT(B109,LEN(B109)-FIND(" ",B109)+1)</f>
        <v xml:space="preserve"> 多大</v>
      </c>
    </row>
    <row r="110" spans="1:5" x14ac:dyDescent="0.15">
      <c r="A110">
        <f>ROW()</f>
        <v>110</v>
      </c>
      <c r="B110" s="27" t="s">
        <v>353</v>
      </c>
      <c r="C110" t="str">
        <f t="shared" si="9"/>
        <v xml:space="preserve">デパート </v>
      </c>
      <c r="E110" t="str">
        <f t="shared" ref="E110" si="11">RIGHT(B110,LEN(B110)-FIND("〔",B110)+1)</f>
        <v>〔名〕 百货商店</v>
      </c>
    </row>
    <row r="111" spans="1:5" x14ac:dyDescent="0.15">
      <c r="A111">
        <f>ROW()</f>
        <v>111</v>
      </c>
      <c r="B111" s="27" t="s">
        <v>354</v>
      </c>
      <c r="C111" t="str">
        <f t="shared" si="4"/>
        <v>しょくどう</v>
      </c>
      <c r="D111" t="str">
        <f t="shared" si="5"/>
        <v>（食堂）</v>
      </c>
      <c r="E111" t="str">
        <f t="shared" si="6"/>
        <v xml:space="preserve"> 〔名〕 食堂</v>
      </c>
    </row>
    <row r="112" spans="1:5" x14ac:dyDescent="0.15">
      <c r="A112">
        <f>ROW()</f>
        <v>112</v>
      </c>
      <c r="B112" s="27" t="s">
        <v>355</v>
      </c>
      <c r="C112" t="str">
        <f t="shared" si="4"/>
        <v>ゆうびんきょく</v>
      </c>
      <c r="D112" t="str">
        <f t="shared" si="5"/>
        <v>（郵便局）</v>
      </c>
      <c r="E112" t="str">
        <f t="shared" si="6"/>
        <v xml:space="preserve"> 〔名〕 邮局</v>
      </c>
    </row>
    <row r="113" spans="1:5" x14ac:dyDescent="0.15">
      <c r="A113">
        <f>ROW()</f>
        <v>113</v>
      </c>
      <c r="B113" s="27" t="s">
        <v>356</v>
      </c>
      <c r="C113" t="str">
        <f t="shared" si="4"/>
        <v>ぎんこう</v>
      </c>
      <c r="D113" t="str">
        <f t="shared" si="5"/>
        <v>（銀行）</v>
      </c>
      <c r="E113" t="str">
        <f t="shared" si="6"/>
        <v xml:space="preserve"> 〔名〕 银行</v>
      </c>
    </row>
    <row r="114" spans="1:5" x14ac:dyDescent="0.15">
      <c r="A114">
        <f>ROW()</f>
        <v>114</v>
      </c>
      <c r="B114" s="27" t="s">
        <v>357</v>
      </c>
      <c r="C114" t="str">
        <f t="shared" si="4"/>
        <v>としょかん</v>
      </c>
      <c r="D114" t="str">
        <f t="shared" si="5"/>
        <v>（図書館）</v>
      </c>
      <c r="E114" t="str">
        <f t="shared" si="6"/>
        <v xml:space="preserve"> 〔名〕 图书馆</v>
      </c>
    </row>
    <row r="115" spans="1:5" x14ac:dyDescent="0.15">
      <c r="A115">
        <f>ROW()</f>
        <v>115</v>
      </c>
      <c r="B115" s="27" t="s">
        <v>358</v>
      </c>
      <c r="C115" t="str">
        <f t="shared" si="4"/>
        <v xml:space="preserve">マンション 〔名〕 </v>
      </c>
      <c r="D115" t="str">
        <f t="shared" si="5"/>
        <v>（高级）</v>
      </c>
      <c r="E115" t="str">
        <f t="shared" si="6"/>
        <v>公寓</v>
      </c>
    </row>
    <row r="116" spans="1:5" x14ac:dyDescent="0.15">
      <c r="A116">
        <f>ROW()</f>
        <v>116</v>
      </c>
      <c r="B116" s="27" t="s">
        <v>359</v>
      </c>
      <c r="C116" t="str">
        <f t="shared" ref="C116:C117" si="12">LEFT(B116,FIND("〔",B116)-1)</f>
        <v xml:space="preserve">ホテル </v>
      </c>
      <c r="E116" t="str">
        <f t="shared" ref="E116:E117" si="13">RIGHT(B116,LEN(B116)-FIND("〔",B116)+1)</f>
        <v>〔名〕 宾馆</v>
      </c>
    </row>
    <row r="117" spans="1:5" x14ac:dyDescent="0.15">
      <c r="A117">
        <f>ROW()</f>
        <v>117</v>
      </c>
      <c r="B117" s="27" t="s">
        <v>360</v>
      </c>
      <c r="C117" t="str">
        <f t="shared" si="12"/>
        <v xml:space="preserve">コンビニ </v>
      </c>
      <c r="E117" t="str">
        <f t="shared" si="13"/>
        <v xml:space="preserve">〔名〕 便利店 </v>
      </c>
    </row>
    <row r="118" spans="1:5" x14ac:dyDescent="0.15">
      <c r="A118">
        <f>ROW()</f>
        <v>118</v>
      </c>
      <c r="B118" s="27" t="s">
        <v>361</v>
      </c>
      <c r="C118" t="str">
        <f t="shared" si="4"/>
        <v>きっさてん</v>
      </c>
      <c r="D118" t="str">
        <f t="shared" si="5"/>
        <v>（喫茶店）</v>
      </c>
      <c r="E118" t="str">
        <f t="shared" si="6"/>
        <v xml:space="preserve"> 〔名〕 咖啡馆</v>
      </c>
    </row>
    <row r="119" spans="1:5" x14ac:dyDescent="0.15">
      <c r="A119">
        <f>ROW()</f>
        <v>119</v>
      </c>
      <c r="B119" s="27" t="s">
        <v>362</v>
      </c>
      <c r="C119" t="str">
        <f t="shared" si="4"/>
        <v>びょういん</v>
      </c>
      <c r="D119" t="str">
        <f t="shared" si="5"/>
        <v>（病院）</v>
      </c>
      <c r="E119" t="str">
        <f t="shared" si="6"/>
        <v xml:space="preserve"> 〔名〕 医院</v>
      </c>
    </row>
    <row r="120" spans="1:5" x14ac:dyDescent="0.15">
      <c r="A120">
        <f>ROW()</f>
        <v>120</v>
      </c>
      <c r="B120" s="27" t="s">
        <v>363</v>
      </c>
      <c r="C120" t="str">
        <f t="shared" ref="C120:C178" si="14">LEFT(B120,FIND("（",B120)-1)</f>
        <v>ほんや</v>
      </c>
      <c r="D120" t="str">
        <f t="shared" ref="D120:D178" si="15">MID(B120,FIND("（",B120),FIND("）",B120)-FIND("（",B120)+1)</f>
        <v>（本屋）</v>
      </c>
      <c r="E120" t="str">
        <f t="shared" ref="E120:E178" si="16">RIGHT(B120,LEN(B120)-FIND("）",B120))</f>
        <v xml:space="preserve"> 〔名〕 书店</v>
      </c>
    </row>
    <row r="121" spans="1:5" x14ac:dyDescent="0.15">
      <c r="A121">
        <f>ROW()</f>
        <v>121</v>
      </c>
      <c r="B121" s="27" t="s">
        <v>364</v>
      </c>
      <c r="C121" t="str">
        <f t="shared" ref="C121:C122" si="17">LEFT(B121,FIND("〔",B121)-1)</f>
        <v xml:space="preserve">レストラン </v>
      </c>
      <c r="E121" t="str">
        <f t="shared" ref="E121:E122" si="18">RIGHT(B121,LEN(B121)-FIND("〔",B121)+1)</f>
        <v>〔名〕 餐馆，西餐馆</v>
      </c>
    </row>
    <row r="122" spans="1:5" x14ac:dyDescent="0.15">
      <c r="A122">
        <f>ROW()</f>
        <v>122</v>
      </c>
      <c r="B122" s="27" t="s">
        <v>365</v>
      </c>
      <c r="C122" t="str">
        <f t="shared" si="17"/>
        <v xml:space="preserve">ビル </v>
      </c>
      <c r="E122" t="str">
        <f t="shared" si="18"/>
        <v>〔名〕 大楼，大厦</v>
      </c>
    </row>
    <row r="123" spans="1:5" x14ac:dyDescent="0.15">
      <c r="A123">
        <f>ROW()</f>
        <v>123</v>
      </c>
      <c r="B123" s="27" t="s">
        <v>366</v>
      </c>
      <c r="C123" t="str">
        <f t="shared" si="14"/>
        <v>たてもの</v>
      </c>
      <c r="D123" t="str">
        <f t="shared" si="15"/>
        <v>（建物）</v>
      </c>
      <c r="E123" t="str">
        <f t="shared" si="16"/>
        <v xml:space="preserve"> 〔名〕 大楼，建筑物</v>
      </c>
    </row>
    <row r="124" spans="1:5" x14ac:dyDescent="0.15">
      <c r="A124">
        <f>ROW()</f>
        <v>124</v>
      </c>
      <c r="B124" s="27" t="s">
        <v>367</v>
      </c>
      <c r="C124" t="str">
        <f t="shared" si="14"/>
        <v>うりば</v>
      </c>
      <c r="D124" t="str">
        <f t="shared" si="15"/>
        <v>（売り場）</v>
      </c>
      <c r="E124" t="str">
        <f t="shared" si="16"/>
        <v xml:space="preserve"> 〔名〕 柜台，出售处</v>
      </c>
    </row>
    <row r="125" spans="1:5" x14ac:dyDescent="0.15">
      <c r="A125">
        <f>ROW()</f>
        <v>125</v>
      </c>
      <c r="B125" s="27" t="s">
        <v>368</v>
      </c>
      <c r="C125" t="str">
        <f t="shared" ref="C125" si="19">LEFT(B125,FIND("〔",B125)-1)</f>
        <v xml:space="preserve">トイレ </v>
      </c>
      <c r="E125" t="str">
        <f t="shared" ref="E125" si="20">RIGHT(B125,LEN(B125)-FIND("〔",B125)+1)</f>
        <v>〔名〕 厕所，盥洗室</v>
      </c>
    </row>
    <row r="126" spans="1:5" x14ac:dyDescent="0.15">
      <c r="A126">
        <f>ROW()</f>
        <v>126</v>
      </c>
      <c r="B126" s="27" t="s">
        <v>369</v>
      </c>
      <c r="C126" t="str">
        <f t="shared" si="14"/>
        <v>いりぐち</v>
      </c>
      <c r="D126" t="str">
        <f t="shared" si="15"/>
        <v>（入り口）</v>
      </c>
      <c r="E126" t="str">
        <f t="shared" si="16"/>
        <v xml:space="preserve"> 〔名〕 入口</v>
      </c>
    </row>
    <row r="127" spans="1:5" x14ac:dyDescent="0.15">
      <c r="A127">
        <f>ROW()</f>
        <v>127</v>
      </c>
      <c r="B127" s="27" t="s">
        <v>370</v>
      </c>
      <c r="C127" t="str">
        <f t="shared" si="14"/>
        <v>じむしょ</v>
      </c>
      <c r="D127" t="str">
        <f t="shared" si="15"/>
        <v>（事務所）</v>
      </c>
      <c r="E127" t="str">
        <f t="shared" si="16"/>
        <v xml:space="preserve"> 〔名〕 事务所，办事处</v>
      </c>
    </row>
    <row r="128" spans="1:5" x14ac:dyDescent="0.15">
      <c r="A128">
        <f>ROW()</f>
        <v>128</v>
      </c>
      <c r="B128" s="27" t="s">
        <v>371</v>
      </c>
      <c r="C128" t="str">
        <f t="shared" si="14"/>
        <v>うけつけ</v>
      </c>
      <c r="D128" t="str">
        <f t="shared" si="15"/>
        <v>（受付）</v>
      </c>
      <c r="E128" t="str">
        <f t="shared" si="16"/>
        <v xml:space="preserve"> 〔名〕 接待处</v>
      </c>
    </row>
    <row r="129" spans="1:5" ht="15.75" customHeight="1" x14ac:dyDescent="0.15">
      <c r="A129">
        <f>ROW()</f>
        <v>129</v>
      </c>
      <c r="B129" s="27" t="s">
        <v>1282</v>
      </c>
      <c r="C129" t="str">
        <f t="shared" si="14"/>
        <v>バーゲンかいじょう</v>
      </c>
      <c r="D129" t="str">
        <f t="shared" si="15"/>
        <v>（～会場）</v>
      </c>
      <c r="E129" t="str">
        <f t="shared" si="16"/>
        <v xml:space="preserve"> 〔名〕 降价处理大卖场</v>
      </c>
    </row>
    <row r="130" spans="1:5" x14ac:dyDescent="0.15">
      <c r="A130">
        <f>ROW()</f>
        <v>130</v>
      </c>
      <c r="B130" s="27" t="s">
        <v>372</v>
      </c>
      <c r="C130" t="str">
        <f t="shared" ref="C130" si="21">LEFT(B130,FIND("〔",B130)-1)</f>
        <v xml:space="preserve">エスカレーター </v>
      </c>
      <c r="E130" t="str">
        <f t="shared" ref="E130" si="22">RIGHT(B130,LEN(B130)-FIND("〔",B130)+1)</f>
        <v>〔名〕 自动扶梯</v>
      </c>
    </row>
    <row r="131" spans="1:5" x14ac:dyDescent="0.15">
      <c r="A131">
        <f>ROW()</f>
        <v>131</v>
      </c>
      <c r="B131" s="27" t="s">
        <v>373</v>
      </c>
      <c r="C131" t="str">
        <f t="shared" si="14"/>
        <v>ふく</v>
      </c>
      <c r="D131" t="str">
        <f t="shared" si="15"/>
        <v>（服）</v>
      </c>
      <c r="E131" t="str">
        <f t="shared" si="16"/>
        <v xml:space="preserve"> 〔名〕 衣服</v>
      </c>
    </row>
    <row r="132" spans="1:5" x14ac:dyDescent="0.15">
      <c r="A132">
        <f>ROW()</f>
        <v>132</v>
      </c>
      <c r="B132" s="27" t="s">
        <v>374</v>
      </c>
      <c r="C132" t="str">
        <f t="shared" ref="C132:C133" si="23">LEFT(B132,FIND("〔",B132)-1)</f>
        <v xml:space="preserve">コート </v>
      </c>
      <c r="E132" t="str">
        <f t="shared" ref="E132:E133" si="24">RIGHT(B132,LEN(B132)-FIND("〔",B132)+1)</f>
        <v>〔名〕 风衣，大衣</v>
      </c>
    </row>
    <row r="133" spans="1:5" x14ac:dyDescent="0.15">
      <c r="A133">
        <f>ROW()</f>
        <v>133</v>
      </c>
      <c r="B133" s="27" t="s">
        <v>375</v>
      </c>
      <c r="C133" t="str">
        <f t="shared" si="23"/>
        <v xml:space="preserve">デジカメ </v>
      </c>
      <c r="E133" t="str">
        <f t="shared" si="24"/>
        <v>〔名〕 数码相机</v>
      </c>
    </row>
    <row r="134" spans="1:5" x14ac:dyDescent="0.15">
      <c r="A134">
        <f>ROW()</f>
        <v>134</v>
      </c>
      <c r="B134" s="27" t="s">
        <v>376</v>
      </c>
      <c r="C134" t="str">
        <f t="shared" si="14"/>
        <v>くに</v>
      </c>
      <c r="D134" t="str">
        <f t="shared" si="15"/>
        <v>（国）</v>
      </c>
      <c r="E134" t="str">
        <f t="shared" si="16"/>
        <v xml:space="preserve"> 〔名〕 国，国家</v>
      </c>
    </row>
    <row r="135" spans="1:5" x14ac:dyDescent="0.15">
      <c r="A135">
        <f>ROW()</f>
        <v>135</v>
      </c>
      <c r="B135" s="27" t="s">
        <v>377</v>
      </c>
      <c r="C135" t="str">
        <f t="shared" si="14"/>
        <v>ちず</v>
      </c>
      <c r="D135" t="str">
        <f t="shared" si="15"/>
        <v>（地図）</v>
      </c>
      <c r="E135" t="str">
        <f t="shared" si="16"/>
        <v xml:space="preserve"> 〔名〕 地图</v>
      </c>
    </row>
    <row r="136" spans="1:5" x14ac:dyDescent="0.15">
      <c r="A136">
        <f>ROW()</f>
        <v>136</v>
      </c>
      <c r="B136" s="27" t="s">
        <v>378</v>
      </c>
      <c r="C136" t="str">
        <f t="shared" si="14"/>
        <v>となり</v>
      </c>
      <c r="D136" t="str">
        <f t="shared" si="15"/>
        <v>（隣）</v>
      </c>
      <c r="E136" t="str">
        <f t="shared" si="16"/>
        <v xml:space="preserve"> 〔名〕 旁边</v>
      </c>
    </row>
    <row r="137" spans="1:5" x14ac:dyDescent="0.15">
      <c r="A137">
        <f>ROW()</f>
        <v>137</v>
      </c>
      <c r="B137" s="27" t="s">
        <v>379</v>
      </c>
      <c r="C137" t="str">
        <f t="shared" si="14"/>
        <v>しゅうへん</v>
      </c>
      <c r="D137" t="str">
        <f t="shared" si="15"/>
        <v>（周辺）</v>
      </c>
      <c r="E137" t="str">
        <f t="shared" si="16"/>
        <v xml:space="preserve"> 〔名〕 附近，周边</v>
      </c>
    </row>
    <row r="138" spans="1:5" x14ac:dyDescent="0.15">
      <c r="A138">
        <f>ROW()</f>
        <v>138</v>
      </c>
      <c r="B138" s="27" t="s">
        <v>380</v>
      </c>
      <c r="C138" t="str">
        <f t="shared" si="14"/>
        <v>きょう</v>
      </c>
      <c r="D138" t="str">
        <f t="shared" si="15"/>
        <v>（今日）</v>
      </c>
      <c r="E138" t="str">
        <f t="shared" si="16"/>
        <v xml:space="preserve"> 〔名〕 今天</v>
      </c>
    </row>
    <row r="139" spans="1:5" x14ac:dyDescent="0.15">
      <c r="A139">
        <f>ROW()</f>
        <v>139</v>
      </c>
      <c r="B139" s="27" t="s">
        <v>381</v>
      </c>
      <c r="C139" t="str">
        <f t="shared" si="14"/>
        <v>すいようび</v>
      </c>
      <c r="D139" t="str">
        <f t="shared" si="15"/>
        <v>（水曜日）</v>
      </c>
      <c r="E139" t="str">
        <f t="shared" si="16"/>
        <v xml:space="preserve"> 〔名〕 星期三</v>
      </c>
    </row>
    <row r="140" spans="1:5" x14ac:dyDescent="0.15">
      <c r="A140">
        <f>ROW()</f>
        <v>140</v>
      </c>
      <c r="B140" s="27" t="s">
        <v>382</v>
      </c>
      <c r="C140" t="str">
        <f t="shared" si="14"/>
        <v>もくようび</v>
      </c>
      <c r="D140" t="str">
        <f t="shared" si="15"/>
        <v>（木曜日）</v>
      </c>
      <c r="E140" t="str">
        <f t="shared" si="16"/>
        <v xml:space="preserve"> 〔名〕 星期四</v>
      </c>
    </row>
    <row r="141" spans="1:5" x14ac:dyDescent="0.15">
      <c r="A141">
        <f>ROW()</f>
        <v>141</v>
      </c>
      <c r="B141" s="27" t="s">
        <v>383</v>
      </c>
      <c r="C141" t="str">
        <f t="shared" ref="C141:C149" si="25">LEFT(B141,FIND("〔",B141)-1)</f>
        <v xml:space="preserve">ここ </v>
      </c>
      <c r="E141" t="str">
        <f t="shared" ref="E141:E149" si="26">RIGHT(B141,LEN(B141)-FIND("〔",B141)+1)</f>
        <v>〔代〕 这里，这儿</v>
      </c>
    </row>
    <row r="142" spans="1:5" x14ac:dyDescent="0.15">
      <c r="A142">
        <f>ROW()</f>
        <v>142</v>
      </c>
      <c r="B142" s="27" t="s">
        <v>384</v>
      </c>
      <c r="C142" t="str">
        <f t="shared" si="25"/>
        <v xml:space="preserve">そこ </v>
      </c>
      <c r="E142" t="str">
        <f t="shared" si="26"/>
        <v>〔代〕 那里，那儿</v>
      </c>
    </row>
    <row r="143" spans="1:5" x14ac:dyDescent="0.15">
      <c r="A143">
        <f>ROW()</f>
        <v>143</v>
      </c>
      <c r="B143" s="27" t="s">
        <v>385</v>
      </c>
      <c r="C143" t="str">
        <f t="shared" si="25"/>
        <v xml:space="preserve">あそこ </v>
      </c>
      <c r="E143" t="str">
        <f t="shared" si="26"/>
        <v>〔代〕 那里，那儿</v>
      </c>
    </row>
    <row r="144" spans="1:5" x14ac:dyDescent="0.15">
      <c r="A144">
        <f>ROW()</f>
        <v>144</v>
      </c>
      <c r="B144" s="27" t="s">
        <v>386</v>
      </c>
      <c r="C144" t="str">
        <f t="shared" si="25"/>
        <v xml:space="preserve">こちら </v>
      </c>
      <c r="E144" t="str">
        <f t="shared" si="26"/>
        <v>〔代〕 这儿，这边</v>
      </c>
    </row>
    <row r="145" spans="1:5" x14ac:dyDescent="0.15">
      <c r="A145">
        <f>ROW()</f>
        <v>145</v>
      </c>
      <c r="B145" s="27" t="s">
        <v>387</v>
      </c>
      <c r="C145" t="str">
        <f t="shared" si="25"/>
        <v xml:space="preserve">そちら </v>
      </c>
      <c r="E145" t="str">
        <f t="shared" si="26"/>
        <v>〔代〕 那儿，那边</v>
      </c>
    </row>
    <row r="146" spans="1:5" x14ac:dyDescent="0.15">
      <c r="A146">
        <f>ROW()</f>
        <v>146</v>
      </c>
      <c r="B146" s="27" t="s">
        <v>388</v>
      </c>
      <c r="C146" t="str">
        <f t="shared" si="25"/>
        <v xml:space="preserve">あちら </v>
      </c>
      <c r="E146" t="str">
        <f t="shared" si="26"/>
        <v>〔代〕 那儿，那边</v>
      </c>
    </row>
    <row r="147" spans="1:5" x14ac:dyDescent="0.15">
      <c r="A147">
        <f>ROW()</f>
        <v>147</v>
      </c>
      <c r="B147" s="27" t="s">
        <v>389</v>
      </c>
      <c r="C147" t="str">
        <f t="shared" si="25"/>
        <v xml:space="preserve">どこ </v>
      </c>
      <c r="E147" t="str">
        <f t="shared" si="26"/>
        <v>〔疑〕 哪里，哪儿</v>
      </c>
    </row>
    <row r="148" spans="1:5" x14ac:dyDescent="0.15">
      <c r="A148">
        <f>ROW()</f>
        <v>148</v>
      </c>
      <c r="B148" s="27" t="s">
        <v>390</v>
      </c>
      <c r="C148" t="str">
        <f t="shared" si="25"/>
        <v xml:space="preserve">どちら </v>
      </c>
      <c r="E148" t="str">
        <f t="shared" si="26"/>
        <v>〔疑〕 哪儿，哪边</v>
      </c>
    </row>
    <row r="149" spans="1:5" x14ac:dyDescent="0.15">
      <c r="A149">
        <f>ROW()</f>
        <v>149</v>
      </c>
      <c r="B149" s="27" t="s">
        <v>391</v>
      </c>
      <c r="C149" t="str">
        <f t="shared" si="25"/>
        <v xml:space="preserve">あのう </v>
      </c>
      <c r="E149" t="str">
        <f t="shared" si="26"/>
        <v>〔叹〕 请问，对不起</v>
      </c>
    </row>
    <row r="150" spans="1:5" x14ac:dyDescent="0.15">
      <c r="A150">
        <f>ROW()</f>
        <v>150</v>
      </c>
      <c r="B150" s="27" t="s">
        <v>392</v>
      </c>
      <c r="C150" t="str">
        <f t="shared" si="14"/>
        <v>シャンハイ</v>
      </c>
      <c r="D150" t="str">
        <f t="shared" si="15"/>
        <v>（上海）</v>
      </c>
      <c r="E150" t="str">
        <f t="shared" si="16"/>
        <v xml:space="preserve"> 〔专〕 上海</v>
      </c>
    </row>
    <row r="151" spans="1:5" x14ac:dyDescent="0.15">
      <c r="A151">
        <f>ROW()</f>
        <v>151</v>
      </c>
      <c r="B151" s="27" t="s">
        <v>393</v>
      </c>
      <c r="C151" t="str">
        <f t="shared" si="14"/>
        <v>とうきょう</v>
      </c>
      <c r="D151" t="str">
        <f t="shared" si="15"/>
        <v>（東京）</v>
      </c>
      <c r="E151" t="str">
        <f t="shared" si="16"/>
        <v xml:space="preserve"> 〔专〕 东京</v>
      </c>
    </row>
    <row r="152" spans="1:5" x14ac:dyDescent="0.15">
      <c r="A152">
        <f>ROW()</f>
        <v>152</v>
      </c>
      <c r="B152" s="27" t="s">
        <v>394</v>
      </c>
      <c r="C152" t="str">
        <f>LEFT(B152,FIND(" ",B152)-1)</f>
        <v>いくら</v>
      </c>
      <c r="E152" t="str">
        <f>RIGHT(B152,LEN(B152)-FIND(" ",B152)+1)</f>
        <v xml:space="preserve"> 多少钱</v>
      </c>
    </row>
    <row r="153" spans="1:5" x14ac:dyDescent="0.15">
      <c r="A153">
        <f>ROW()</f>
        <v>153</v>
      </c>
      <c r="B153" s="27" t="s">
        <v>395</v>
      </c>
      <c r="C153" t="str">
        <f t="shared" si="14"/>
        <v>へや</v>
      </c>
      <c r="D153" t="str">
        <f t="shared" si="15"/>
        <v>（部屋）</v>
      </c>
      <c r="E153" t="str">
        <f t="shared" si="16"/>
        <v xml:space="preserve"> 〔名〕 房间，屋子</v>
      </c>
    </row>
    <row r="154" spans="1:5" x14ac:dyDescent="0.15">
      <c r="A154">
        <f>ROW()</f>
        <v>154</v>
      </c>
      <c r="B154" s="27" t="s">
        <v>396</v>
      </c>
      <c r="C154" t="str">
        <f t="shared" si="14"/>
        <v>にわ</v>
      </c>
      <c r="D154" t="str">
        <f t="shared" si="15"/>
        <v>（庭）</v>
      </c>
      <c r="E154" t="str">
        <f t="shared" si="16"/>
        <v xml:space="preserve"> 〔名〕 院子</v>
      </c>
    </row>
    <row r="155" spans="1:5" x14ac:dyDescent="0.15">
      <c r="A155">
        <f>ROW()</f>
        <v>155</v>
      </c>
      <c r="B155" s="27" t="s">
        <v>397</v>
      </c>
      <c r="C155" t="str">
        <f t="shared" si="14"/>
        <v>いえ</v>
      </c>
      <c r="D155" t="str">
        <f t="shared" si="15"/>
        <v>（家）</v>
      </c>
      <c r="E155" t="str">
        <f t="shared" si="16"/>
        <v xml:space="preserve"> 〔名〕 家</v>
      </c>
    </row>
    <row r="156" spans="1:5" x14ac:dyDescent="0.15">
      <c r="A156">
        <f>ROW()</f>
        <v>156</v>
      </c>
      <c r="B156" s="27" t="s">
        <v>398</v>
      </c>
      <c r="C156" t="str">
        <f t="shared" si="14"/>
        <v>いま</v>
      </c>
      <c r="D156" t="str">
        <f t="shared" si="15"/>
        <v>（居間）</v>
      </c>
      <c r="E156" t="str">
        <f t="shared" si="16"/>
        <v xml:space="preserve"> 〔名〕 起居室</v>
      </c>
    </row>
    <row r="157" spans="1:5" x14ac:dyDescent="0.15">
      <c r="A157">
        <f>ROW()</f>
        <v>157</v>
      </c>
      <c r="B157" s="27" t="s">
        <v>399</v>
      </c>
      <c r="C157" t="str">
        <f t="shared" si="14"/>
        <v>れいぞうこ</v>
      </c>
      <c r="D157" t="str">
        <f t="shared" si="15"/>
        <v>（冷蔵庫）</v>
      </c>
      <c r="E157" t="str">
        <f t="shared" si="16"/>
        <v xml:space="preserve"> 〔名〕 冰箱</v>
      </c>
    </row>
    <row r="158" spans="1:5" x14ac:dyDescent="0.15">
      <c r="A158">
        <f>ROW()</f>
        <v>158</v>
      </c>
      <c r="B158" s="27" t="s">
        <v>400</v>
      </c>
      <c r="C158" t="str">
        <f t="shared" si="14"/>
        <v>かべ</v>
      </c>
      <c r="D158" t="str">
        <f t="shared" si="15"/>
        <v>（壁）</v>
      </c>
      <c r="E158" t="str">
        <f t="shared" si="16"/>
        <v xml:space="preserve"> 〔名〕 墙壁</v>
      </c>
    </row>
    <row r="159" spans="1:5" x14ac:dyDescent="0.15">
      <c r="A159">
        <f>ROW()</f>
        <v>159</v>
      </c>
      <c r="B159" s="27" t="s">
        <v>401</v>
      </c>
      <c r="C159" t="str">
        <f t="shared" ref="C159" si="27">LEFT(B159,FIND("〔",B159)-1)</f>
        <v xml:space="preserve">スイッチ </v>
      </c>
      <c r="E159" t="str">
        <f t="shared" ref="E159" si="28">RIGHT(B159,LEN(B159)-FIND("〔",B159)+1)</f>
        <v>〔名〕 开关</v>
      </c>
    </row>
    <row r="160" spans="1:5" x14ac:dyDescent="0.15">
      <c r="A160">
        <f>ROW()</f>
        <v>160</v>
      </c>
      <c r="B160" s="27" t="s">
        <v>402</v>
      </c>
      <c r="C160" t="str">
        <f t="shared" si="14"/>
        <v>ほんだな</v>
      </c>
      <c r="D160" t="str">
        <f t="shared" si="15"/>
        <v>（本棚）</v>
      </c>
      <c r="E160" t="str">
        <f t="shared" si="16"/>
        <v xml:space="preserve"> 〔名〕 书架</v>
      </c>
    </row>
    <row r="161" spans="1:5" x14ac:dyDescent="0.15">
      <c r="A161">
        <f>ROW()</f>
        <v>161</v>
      </c>
      <c r="B161" s="27" t="s">
        <v>403</v>
      </c>
      <c r="C161" t="str">
        <f t="shared" ref="C161" si="29">LEFT(B161,FIND("〔",B161)-1)</f>
        <v xml:space="preserve">ベッド </v>
      </c>
      <c r="E161" t="str">
        <f t="shared" ref="E161" si="30">RIGHT(B161,LEN(B161)-FIND("〔",B161)+1)</f>
        <v>〔名〕 床</v>
      </c>
    </row>
    <row r="162" spans="1:5" x14ac:dyDescent="0.15">
      <c r="A162">
        <f>ROW()</f>
        <v>162</v>
      </c>
      <c r="B162" s="27" t="s">
        <v>404</v>
      </c>
      <c r="C162" t="str">
        <f t="shared" si="14"/>
        <v>ねこ</v>
      </c>
      <c r="D162" t="str">
        <f t="shared" si="15"/>
        <v>（猫）</v>
      </c>
      <c r="E162" t="str">
        <f t="shared" si="16"/>
        <v xml:space="preserve"> 〔名〕 猫</v>
      </c>
    </row>
    <row r="163" spans="1:5" x14ac:dyDescent="0.15">
      <c r="A163">
        <f>ROW()</f>
        <v>163</v>
      </c>
      <c r="B163" s="27" t="s">
        <v>405</v>
      </c>
      <c r="C163" t="str">
        <f t="shared" si="14"/>
        <v>いぬ</v>
      </c>
      <c r="D163" t="str">
        <f t="shared" si="15"/>
        <v>（犬）</v>
      </c>
      <c r="E163" t="str">
        <f t="shared" si="16"/>
        <v xml:space="preserve"> 〔名〕 狗</v>
      </c>
    </row>
    <row r="164" spans="1:5" x14ac:dyDescent="0.15">
      <c r="A164">
        <f>ROW()</f>
        <v>164</v>
      </c>
      <c r="B164" s="27" t="s">
        <v>406</v>
      </c>
      <c r="C164" t="str">
        <f t="shared" si="14"/>
        <v>はこ</v>
      </c>
      <c r="D164" t="str">
        <f t="shared" si="15"/>
        <v>（箱）</v>
      </c>
      <c r="E164" t="str">
        <f t="shared" si="16"/>
        <v xml:space="preserve"> 〔名〕 盒子，箱子</v>
      </c>
    </row>
    <row r="165" spans="1:5" x14ac:dyDescent="0.15">
      <c r="A165">
        <f>ROW()</f>
        <v>165</v>
      </c>
      <c r="B165" s="27" t="s">
        <v>407</v>
      </c>
      <c r="C165" t="str">
        <f t="shared" si="14"/>
        <v>めがね</v>
      </c>
      <c r="D165" t="str">
        <f t="shared" si="15"/>
        <v>（眼鏡）</v>
      </c>
      <c r="E165" t="str">
        <f t="shared" si="16"/>
        <v xml:space="preserve"> 〔名〕 眼镜</v>
      </c>
    </row>
    <row r="166" spans="1:5" x14ac:dyDescent="0.15">
      <c r="A166">
        <f>ROW()</f>
        <v>166</v>
      </c>
      <c r="B166" s="27" t="s">
        <v>408</v>
      </c>
      <c r="C166" t="str">
        <f t="shared" ref="C166:C169" si="31">LEFT(B166,FIND("〔",B166)-1)</f>
        <v xml:space="preserve">ビデオ </v>
      </c>
      <c r="E166" t="str">
        <f t="shared" ref="E166:E169" si="32">RIGHT(B166,LEN(B166)-FIND("〔",B166)+1)</f>
        <v>〔名〕 录像机</v>
      </c>
    </row>
    <row r="167" spans="1:5" x14ac:dyDescent="0.15">
      <c r="A167">
        <f>ROW()</f>
        <v>167</v>
      </c>
      <c r="B167" s="27" t="s">
        <v>409</v>
      </c>
      <c r="C167" t="str">
        <f t="shared" si="31"/>
        <v xml:space="preserve">サッカーボール </v>
      </c>
      <c r="E167" t="str">
        <f t="shared" si="32"/>
        <v>〔名〕 足球</v>
      </c>
    </row>
    <row r="168" spans="1:5" x14ac:dyDescent="0.15">
      <c r="A168">
        <f>ROW()</f>
        <v>168</v>
      </c>
      <c r="B168" s="27" t="s">
        <v>410</v>
      </c>
      <c r="C168" t="str">
        <f t="shared" si="31"/>
        <v xml:space="preserve">ビール </v>
      </c>
      <c r="E168" t="str">
        <f t="shared" si="32"/>
        <v>〔名〕 啤酒</v>
      </c>
    </row>
    <row r="169" spans="1:5" x14ac:dyDescent="0.15">
      <c r="A169">
        <f>ROW()</f>
        <v>169</v>
      </c>
      <c r="B169" s="27" t="s">
        <v>411</v>
      </c>
      <c r="C169" t="str">
        <f t="shared" si="31"/>
        <v xml:space="preserve">ウイスキー </v>
      </c>
      <c r="E169" t="str">
        <f t="shared" si="32"/>
        <v>〔名〕 威士忌</v>
      </c>
    </row>
    <row r="170" spans="1:5" x14ac:dyDescent="0.15">
      <c r="A170">
        <f>ROW()</f>
        <v>170</v>
      </c>
      <c r="B170" s="27" t="s">
        <v>412</v>
      </c>
      <c r="C170" t="str">
        <f t="shared" si="14"/>
        <v>こども</v>
      </c>
      <c r="D170" t="str">
        <f t="shared" si="15"/>
        <v>（子供）</v>
      </c>
      <c r="E170" t="str">
        <f t="shared" si="16"/>
        <v xml:space="preserve"> 〔名〕 孩子，小孩</v>
      </c>
    </row>
    <row r="171" spans="1:5" x14ac:dyDescent="0.15">
      <c r="A171">
        <f>ROW()</f>
        <v>171</v>
      </c>
      <c r="B171" s="27" t="s">
        <v>413</v>
      </c>
      <c r="C171" t="str">
        <f t="shared" si="14"/>
        <v>きょうだい</v>
      </c>
      <c r="D171" t="str">
        <f t="shared" si="15"/>
        <v>（兄弟）</v>
      </c>
      <c r="E171" t="str">
        <f t="shared" si="16"/>
        <v xml:space="preserve"> 〔名〕 兄弟姐妹</v>
      </c>
    </row>
    <row r="172" spans="1:5" x14ac:dyDescent="0.15">
      <c r="A172">
        <f>ROW()</f>
        <v>172</v>
      </c>
      <c r="B172" s="27" t="s">
        <v>414</v>
      </c>
      <c r="C172" t="str">
        <f t="shared" si="14"/>
        <v>りょうしん</v>
      </c>
      <c r="D172" t="str">
        <f t="shared" si="15"/>
        <v>（両親）</v>
      </c>
      <c r="E172" t="str">
        <f t="shared" si="16"/>
        <v xml:space="preserve"> 〔名〕 父母，双亲</v>
      </c>
    </row>
    <row r="173" spans="1:5" x14ac:dyDescent="0.15">
      <c r="A173">
        <f>ROW()</f>
        <v>173</v>
      </c>
      <c r="B173" s="27" t="s">
        <v>415</v>
      </c>
      <c r="C173" t="str">
        <f t="shared" si="14"/>
        <v>いもうと</v>
      </c>
      <c r="D173" t="str">
        <f t="shared" si="15"/>
        <v>（妹）</v>
      </c>
      <c r="E173" t="str">
        <f t="shared" si="16"/>
        <v xml:space="preserve"> 〔名〕 妹妹</v>
      </c>
    </row>
    <row r="174" spans="1:5" x14ac:dyDescent="0.15">
      <c r="A174">
        <f>ROW()</f>
        <v>174</v>
      </c>
      <c r="B174" s="27" t="s">
        <v>416</v>
      </c>
      <c r="C174" t="str">
        <f t="shared" si="14"/>
        <v>おとこ</v>
      </c>
      <c r="D174" t="str">
        <f t="shared" si="15"/>
        <v>（男）</v>
      </c>
      <c r="E174" t="str">
        <f t="shared" si="16"/>
        <v xml:space="preserve"> 〔名〕 男</v>
      </c>
    </row>
    <row r="175" spans="1:5" x14ac:dyDescent="0.15">
      <c r="A175">
        <f>ROW()</f>
        <v>175</v>
      </c>
      <c r="B175" s="27" t="s">
        <v>417</v>
      </c>
      <c r="C175" t="str">
        <f t="shared" si="14"/>
        <v>おんな</v>
      </c>
      <c r="D175" t="str">
        <f t="shared" si="15"/>
        <v>（女）</v>
      </c>
      <c r="E175" t="str">
        <f t="shared" si="16"/>
        <v xml:space="preserve"> 〔名〕 女</v>
      </c>
    </row>
    <row r="176" spans="1:5" x14ac:dyDescent="0.15">
      <c r="A176">
        <f>ROW()</f>
        <v>176</v>
      </c>
      <c r="B176" s="27" t="s">
        <v>418</v>
      </c>
      <c r="C176" t="str">
        <f t="shared" si="14"/>
        <v>せいと</v>
      </c>
      <c r="D176" t="str">
        <f t="shared" si="15"/>
        <v>（生徒）</v>
      </c>
      <c r="E176" t="str">
        <f t="shared" si="16"/>
        <v xml:space="preserve"> 〔名〕学生</v>
      </c>
    </row>
    <row r="177" spans="1:5" x14ac:dyDescent="0.15">
      <c r="A177">
        <f>ROW()</f>
        <v>177</v>
      </c>
      <c r="B177" s="27" t="s">
        <v>419</v>
      </c>
      <c r="C177" t="str">
        <f t="shared" si="14"/>
        <v>うえ</v>
      </c>
      <c r="D177" t="str">
        <f t="shared" si="15"/>
        <v>（上）</v>
      </c>
      <c r="E177" t="str">
        <f t="shared" si="16"/>
        <v xml:space="preserve"> 〔名〕 上面</v>
      </c>
    </row>
    <row r="178" spans="1:5" x14ac:dyDescent="0.15">
      <c r="A178">
        <f>ROW()</f>
        <v>178</v>
      </c>
      <c r="B178" s="27" t="s">
        <v>420</v>
      </c>
      <c r="C178" t="str">
        <f t="shared" si="14"/>
        <v>そと</v>
      </c>
      <c r="D178" t="str">
        <f t="shared" si="15"/>
        <v>（外）</v>
      </c>
      <c r="E178" t="str">
        <f t="shared" si="16"/>
        <v xml:space="preserve"> 〔名〕 外面</v>
      </c>
    </row>
    <row r="179" spans="1:5" x14ac:dyDescent="0.15">
      <c r="A179">
        <f>ROW()</f>
        <v>179</v>
      </c>
      <c r="B179" s="27" t="s">
        <v>421</v>
      </c>
      <c r="C179" t="str">
        <f t="shared" ref="C179:C238" si="33">LEFT(B179,FIND("（",B179)-1)</f>
        <v>なか</v>
      </c>
      <c r="D179" t="str">
        <f t="shared" ref="D179:D238" si="34">MID(B179,FIND("（",B179),FIND("）",B179)-FIND("（",B179)+1)</f>
        <v>（中）</v>
      </c>
      <c r="E179" t="str">
        <f t="shared" ref="E179:E238" si="35">RIGHT(B179,LEN(B179)-FIND("）",B179))</f>
        <v xml:space="preserve"> 〔名〕 里面，内部，中间</v>
      </c>
    </row>
    <row r="180" spans="1:5" x14ac:dyDescent="0.15">
      <c r="A180">
        <f>ROW()</f>
        <v>180</v>
      </c>
      <c r="B180" s="27" t="s">
        <v>422</v>
      </c>
      <c r="C180" t="str">
        <f t="shared" si="33"/>
        <v>した</v>
      </c>
      <c r="D180" t="str">
        <f t="shared" si="34"/>
        <v>（下）</v>
      </c>
      <c r="E180" t="str">
        <f t="shared" si="35"/>
        <v xml:space="preserve"> 〔名〕 下面</v>
      </c>
    </row>
    <row r="181" spans="1:5" x14ac:dyDescent="0.15">
      <c r="A181">
        <f>ROW()</f>
        <v>181</v>
      </c>
      <c r="B181" s="27" t="s">
        <v>423</v>
      </c>
      <c r="C181" t="str">
        <f t="shared" si="33"/>
        <v>まえ</v>
      </c>
      <c r="D181" t="str">
        <f t="shared" si="34"/>
        <v>（前）</v>
      </c>
      <c r="E181" t="str">
        <f t="shared" si="35"/>
        <v xml:space="preserve"> 〔名〕 前，前面</v>
      </c>
    </row>
    <row r="182" spans="1:5" x14ac:dyDescent="0.15">
      <c r="A182">
        <f>ROW()</f>
        <v>182</v>
      </c>
      <c r="B182" s="27" t="s">
        <v>424</v>
      </c>
      <c r="C182" t="str">
        <f t="shared" si="33"/>
        <v>うしろ</v>
      </c>
      <c r="D182" t="str">
        <f t="shared" si="34"/>
        <v>（後ろ）</v>
      </c>
      <c r="E182" t="str">
        <f t="shared" si="35"/>
        <v xml:space="preserve"> 〔名〕 后，后面</v>
      </c>
    </row>
    <row r="183" spans="1:5" x14ac:dyDescent="0.15">
      <c r="A183">
        <f>ROW()</f>
        <v>183</v>
      </c>
      <c r="B183" s="27" t="s">
        <v>425</v>
      </c>
      <c r="C183" t="str">
        <f t="shared" si="33"/>
        <v>ちかく</v>
      </c>
      <c r="D183" t="str">
        <f t="shared" si="34"/>
        <v>（近く）</v>
      </c>
      <c r="E183" t="str">
        <f t="shared" si="35"/>
        <v xml:space="preserve"> 〔名〕 附近，近旁</v>
      </c>
    </row>
    <row r="184" spans="1:5" x14ac:dyDescent="0.15">
      <c r="A184">
        <f>ROW()</f>
        <v>184</v>
      </c>
      <c r="B184" s="27" t="s">
        <v>426</v>
      </c>
      <c r="C184" t="str">
        <f t="shared" si="33"/>
        <v>ばしょ</v>
      </c>
      <c r="D184" t="str">
        <f t="shared" si="34"/>
        <v>（場所）</v>
      </c>
      <c r="E184" t="str">
        <f t="shared" si="35"/>
        <v xml:space="preserve"> 〔名〕 所在地，地方，场所</v>
      </c>
    </row>
    <row r="185" spans="1:5" x14ac:dyDescent="0.15">
      <c r="A185">
        <f>ROW()</f>
        <v>185</v>
      </c>
      <c r="B185" s="27" t="s">
        <v>427</v>
      </c>
      <c r="C185" t="str">
        <f t="shared" si="33"/>
        <v>きょうしつ</v>
      </c>
      <c r="D185" t="str">
        <f t="shared" si="34"/>
        <v>（教室）</v>
      </c>
      <c r="E185" t="str">
        <f t="shared" si="35"/>
        <v xml:space="preserve"> 〔名〕 教室</v>
      </c>
    </row>
    <row r="186" spans="1:5" x14ac:dyDescent="0.15">
      <c r="A186">
        <f>ROW()</f>
        <v>186</v>
      </c>
      <c r="B186" s="27" t="s">
        <v>428</v>
      </c>
      <c r="C186" t="str">
        <f t="shared" si="33"/>
        <v>かいぎしつ</v>
      </c>
      <c r="D186" t="str">
        <f t="shared" si="34"/>
        <v>（会議室）</v>
      </c>
      <c r="E186" t="str">
        <f t="shared" si="35"/>
        <v xml:space="preserve"> 〔名〕 会议室</v>
      </c>
    </row>
    <row r="187" spans="1:5" x14ac:dyDescent="0.15">
      <c r="A187">
        <f>ROW()</f>
        <v>187</v>
      </c>
      <c r="B187" s="27" t="s">
        <v>429</v>
      </c>
      <c r="C187" t="str">
        <f t="shared" si="33"/>
        <v>としょしつ</v>
      </c>
      <c r="D187" t="str">
        <f t="shared" si="34"/>
        <v>（図書室）</v>
      </c>
      <c r="E187" t="str">
        <f t="shared" si="35"/>
        <v xml:space="preserve"> 〔名〕 图书室</v>
      </c>
    </row>
    <row r="188" spans="1:5" x14ac:dyDescent="0.15">
      <c r="A188">
        <f>ROW()</f>
        <v>188</v>
      </c>
      <c r="B188" s="27" t="s">
        <v>430</v>
      </c>
      <c r="C188" t="str">
        <f t="shared" si="33"/>
        <v>こうえん</v>
      </c>
      <c r="D188" t="str">
        <f t="shared" si="34"/>
        <v>（公園）</v>
      </c>
      <c r="E188" t="str">
        <f t="shared" si="35"/>
        <v xml:space="preserve"> 〔名〕 公园</v>
      </c>
    </row>
    <row r="189" spans="1:5" x14ac:dyDescent="0.15">
      <c r="A189">
        <f>ROW()</f>
        <v>189</v>
      </c>
      <c r="B189" s="27" t="s">
        <v>431</v>
      </c>
      <c r="C189" t="str">
        <f t="shared" si="33"/>
        <v>はなや</v>
      </c>
      <c r="D189" t="str">
        <f t="shared" si="34"/>
        <v>（花屋）</v>
      </c>
      <c r="E189" t="str">
        <f t="shared" si="35"/>
        <v xml:space="preserve"> 〔名〕 花店</v>
      </c>
    </row>
    <row r="190" spans="1:5" x14ac:dyDescent="0.15">
      <c r="A190">
        <f>ROW()</f>
        <v>190</v>
      </c>
      <c r="B190" s="27" t="s">
        <v>432</v>
      </c>
      <c r="C190" t="str">
        <f t="shared" si="33"/>
        <v>ばいてん</v>
      </c>
      <c r="D190" t="str">
        <f t="shared" si="34"/>
        <v>（売店）</v>
      </c>
      <c r="E190" t="str">
        <f t="shared" si="35"/>
        <v xml:space="preserve"> 〔名〕 小卖部，售货亭</v>
      </c>
    </row>
    <row r="191" spans="1:5" x14ac:dyDescent="0.15">
      <c r="A191">
        <f>ROW()</f>
        <v>191</v>
      </c>
      <c r="B191" s="27" t="s">
        <v>433</v>
      </c>
      <c r="C191" t="str">
        <f t="shared" si="33"/>
        <v>えき</v>
      </c>
      <c r="D191" t="str">
        <f t="shared" si="34"/>
        <v>（駅）</v>
      </c>
      <c r="E191" t="str">
        <f t="shared" si="35"/>
        <v xml:space="preserve"> 〔名〕 车站</v>
      </c>
    </row>
    <row r="192" spans="1:5" x14ac:dyDescent="0.15">
      <c r="A192">
        <f>ROW()</f>
        <v>192</v>
      </c>
      <c r="B192" s="27" t="s">
        <v>434</v>
      </c>
      <c r="C192" t="str">
        <f t="shared" si="33"/>
        <v>ちかてつ</v>
      </c>
      <c r="D192" t="str">
        <f t="shared" si="34"/>
        <v>（地下鉄）</v>
      </c>
      <c r="E192" t="str">
        <f t="shared" si="35"/>
        <v xml:space="preserve"> 〔名〕 地铁</v>
      </c>
    </row>
    <row r="193" spans="1:5" x14ac:dyDescent="0.15">
      <c r="A193">
        <f>ROW()</f>
        <v>193</v>
      </c>
      <c r="B193" s="27" t="s">
        <v>435</v>
      </c>
      <c r="C193" t="str">
        <f t="shared" si="33"/>
        <v>き</v>
      </c>
      <c r="D193" t="str">
        <f t="shared" si="34"/>
        <v>（樹）</v>
      </c>
      <c r="E193" t="str">
        <f t="shared" si="35"/>
        <v xml:space="preserve"> 〔名〕 树，树木</v>
      </c>
    </row>
    <row r="194" spans="1:5" x14ac:dyDescent="0.15">
      <c r="A194">
        <f>ROW()</f>
        <v>194</v>
      </c>
      <c r="B194" s="27" t="s">
        <v>436</v>
      </c>
      <c r="C194" t="str">
        <f t="shared" si="33"/>
        <v>ひとりぐらし</v>
      </c>
      <c r="D194" t="str">
        <f t="shared" si="34"/>
        <v>（一人暮らし）</v>
      </c>
      <c r="E194" t="str">
        <f t="shared" si="35"/>
        <v xml:space="preserve"> 〔名〕 单身生活</v>
      </c>
    </row>
    <row r="195" spans="1:5" x14ac:dyDescent="0.15">
      <c r="A195">
        <f>ROW()</f>
        <v>195</v>
      </c>
      <c r="B195" s="27" t="s">
        <v>437</v>
      </c>
      <c r="C195" t="str">
        <f>LEFT(B195,FIND(" ",B195)-1)</f>
        <v>あります</v>
      </c>
      <c r="E195" t="str">
        <f>RIGHT(B195,LEN(B195)-FIND(" ",B195))</f>
        <v>〔动1〕 有，在（非意志者）</v>
      </c>
    </row>
    <row r="196" spans="1:5" x14ac:dyDescent="0.15">
      <c r="A196">
        <f>ROW()</f>
        <v>196</v>
      </c>
      <c r="B196" s="27" t="s">
        <v>438</v>
      </c>
      <c r="C196" t="str">
        <f>LEFT(B196,FIND(" ",B196)-1)</f>
        <v>います</v>
      </c>
      <c r="E196" t="str">
        <f>RIGHT(B196,LEN(B196)-FIND(" ",B196))</f>
        <v>〔动2〕 有，在（具意志者）</v>
      </c>
    </row>
    <row r="197" spans="1:5" x14ac:dyDescent="0.15">
      <c r="A197">
        <f>ROW()</f>
        <v>197</v>
      </c>
      <c r="B197" s="27" t="s">
        <v>439</v>
      </c>
      <c r="C197" t="str">
        <f t="shared" ref="C197" si="36">LEFT(B197,FIND("〔",B197)-1)</f>
        <v xml:space="preserve">ええと </v>
      </c>
      <c r="E197" t="str">
        <f t="shared" ref="E197" si="37">RIGHT(B197,LEN(B197)-FIND("〔",B197)+1)</f>
        <v>〔叹〕 啊，嗯</v>
      </c>
    </row>
    <row r="198" spans="1:5" x14ac:dyDescent="0.15">
      <c r="A198">
        <f>ROW()</f>
        <v>198</v>
      </c>
      <c r="B198" s="27" t="s">
        <v>440</v>
      </c>
      <c r="C198" t="str">
        <f t="shared" si="33"/>
        <v>よこはま</v>
      </c>
      <c r="D198" t="str">
        <f t="shared" si="34"/>
        <v>（横浜）</v>
      </c>
      <c r="E198" t="str">
        <f t="shared" si="35"/>
        <v xml:space="preserve"> 〔专〕 横滨</v>
      </c>
    </row>
    <row r="199" spans="1:5" x14ac:dyDescent="0.15">
      <c r="A199">
        <f>ROW()</f>
        <v>199</v>
      </c>
      <c r="B199" s="27" t="s">
        <v>441</v>
      </c>
      <c r="C199" t="str">
        <f t="shared" si="33"/>
        <v>なごや</v>
      </c>
      <c r="D199" t="str">
        <f t="shared" si="34"/>
        <v>（名古屋）</v>
      </c>
      <c r="E199" t="str">
        <f t="shared" si="35"/>
        <v xml:space="preserve"> 〔专〕 名古屋</v>
      </c>
    </row>
    <row r="200" spans="1:5" x14ac:dyDescent="0.15">
      <c r="A200">
        <f>ROW()</f>
        <v>200</v>
      </c>
      <c r="B200" s="27" t="s">
        <v>442</v>
      </c>
      <c r="C200" t="str">
        <f t="shared" si="33"/>
        <v>おおさか</v>
      </c>
      <c r="D200" t="str">
        <f t="shared" si="34"/>
        <v>（大阪）</v>
      </c>
      <c r="E200" t="str">
        <f t="shared" si="35"/>
        <v xml:space="preserve"> 〔专〕 大阪</v>
      </c>
    </row>
    <row r="201" spans="1:5" x14ac:dyDescent="0.15">
      <c r="A201">
        <f>ROW()</f>
        <v>201</v>
      </c>
      <c r="B201" s="27" t="s">
        <v>443</v>
      </c>
      <c r="C201" t="str">
        <f t="shared" si="33"/>
        <v>ジェーアール</v>
      </c>
      <c r="D201" t="str">
        <f t="shared" si="34"/>
        <v>（ＪＲ）</v>
      </c>
      <c r="E201" t="str">
        <f t="shared" si="35"/>
        <v xml:space="preserve"> 〔专〕 JR</v>
      </c>
    </row>
    <row r="202" spans="1:5" x14ac:dyDescent="0.15">
      <c r="A202">
        <f>ROW()</f>
        <v>202</v>
      </c>
      <c r="B202" s="27" t="s">
        <v>444</v>
      </c>
      <c r="C202" t="str">
        <f t="shared" si="33"/>
        <v>いま</v>
      </c>
      <c r="D202" t="str">
        <f t="shared" si="34"/>
        <v>（今）</v>
      </c>
      <c r="E202" t="str">
        <f t="shared" si="35"/>
        <v xml:space="preserve"> 〔名〕 现在</v>
      </c>
    </row>
    <row r="203" spans="1:5" x14ac:dyDescent="0.15">
      <c r="A203">
        <f>ROW()</f>
        <v>203</v>
      </c>
      <c r="B203" s="27" t="s">
        <v>445</v>
      </c>
      <c r="C203" t="str">
        <f t="shared" si="33"/>
        <v>せんしゅう</v>
      </c>
      <c r="D203" t="str">
        <f t="shared" si="34"/>
        <v>（先週）</v>
      </c>
      <c r="E203" t="str">
        <f t="shared" si="35"/>
        <v xml:space="preserve"> 〔名〕 上个星期</v>
      </c>
    </row>
    <row r="204" spans="1:5" x14ac:dyDescent="0.15">
      <c r="A204">
        <f>ROW()</f>
        <v>204</v>
      </c>
      <c r="B204" s="27" t="s">
        <v>446</v>
      </c>
      <c r="C204" t="str">
        <f t="shared" si="33"/>
        <v>らいしゅう</v>
      </c>
      <c r="D204" t="str">
        <f t="shared" si="34"/>
        <v>（来週）</v>
      </c>
      <c r="E204" t="str">
        <f t="shared" si="35"/>
        <v xml:space="preserve"> 〔名〕 下个星期</v>
      </c>
    </row>
    <row r="205" spans="1:5" x14ac:dyDescent="0.15">
      <c r="A205">
        <f>ROW()</f>
        <v>205</v>
      </c>
      <c r="B205" s="27" t="s">
        <v>447</v>
      </c>
      <c r="C205" t="str">
        <f t="shared" si="33"/>
        <v>さらいしゅう</v>
      </c>
      <c r="D205" t="str">
        <f t="shared" si="34"/>
        <v>（さ来週）</v>
      </c>
      <c r="E205" t="str">
        <f t="shared" si="35"/>
        <v xml:space="preserve"> 〔名〕下下个星期</v>
      </c>
    </row>
    <row r="206" spans="1:5" x14ac:dyDescent="0.15">
      <c r="A206">
        <f>ROW()</f>
        <v>206</v>
      </c>
      <c r="B206" s="27" t="s">
        <v>448</v>
      </c>
      <c r="C206" t="str">
        <f t="shared" si="33"/>
        <v>こんしゅう</v>
      </c>
      <c r="D206" t="str">
        <f t="shared" si="34"/>
        <v>（今週）</v>
      </c>
      <c r="E206" t="str">
        <f t="shared" si="35"/>
        <v xml:space="preserve"> 〔名〕 这个星期</v>
      </c>
    </row>
    <row r="207" spans="1:5" x14ac:dyDescent="0.15">
      <c r="A207">
        <f>ROW()</f>
        <v>207</v>
      </c>
      <c r="B207" s="27" t="s">
        <v>449</v>
      </c>
      <c r="C207" t="str">
        <f t="shared" si="33"/>
        <v>きのう</v>
      </c>
      <c r="D207" t="str">
        <f t="shared" si="34"/>
        <v>（昨日）</v>
      </c>
      <c r="E207" t="str">
        <f t="shared" si="35"/>
        <v xml:space="preserve"> 〔名〕 昨天</v>
      </c>
    </row>
    <row r="208" spans="1:5" x14ac:dyDescent="0.15">
      <c r="A208">
        <f>ROW()</f>
        <v>208</v>
      </c>
      <c r="B208" s="27" t="s">
        <v>450</v>
      </c>
      <c r="C208" t="str">
        <f t="shared" si="33"/>
        <v>あした</v>
      </c>
      <c r="D208" t="str">
        <f t="shared" si="34"/>
        <v>（明日）</v>
      </c>
      <c r="E208" t="str">
        <f t="shared" si="35"/>
        <v xml:space="preserve"> 〔名〕 明天</v>
      </c>
    </row>
    <row r="209" spans="1:5" x14ac:dyDescent="0.15">
      <c r="A209">
        <f>ROW()</f>
        <v>209</v>
      </c>
      <c r="B209" s="27" t="s">
        <v>451</v>
      </c>
      <c r="C209" t="str">
        <f t="shared" ref="C209:C210" si="38">LEFT(B209,FIND("〔",B209)-1)</f>
        <v xml:space="preserve">あさって </v>
      </c>
      <c r="E209" t="str">
        <f t="shared" ref="E209:E210" si="39">RIGHT(B209,LEN(B209)-FIND("〔",B209)+1)</f>
        <v>〔名〕 后天</v>
      </c>
    </row>
    <row r="210" spans="1:5" x14ac:dyDescent="0.15">
      <c r="A210">
        <f>ROW()</f>
        <v>210</v>
      </c>
      <c r="B210" s="27" t="s">
        <v>452</v>
      </c>
      <c r="C210" t="str">
        <f t="shared" si="38"/>
        <v xml:space="preserve">おととい </v>
      </c>
      <c r="E210" t="str">
        <f t="shared" si="39"/>
        <v>〔名〕 前天</v>
      </c>
    </row>
    <row r="211" spans="1:5" x14ac:dyDescent="0.15">
      <c r="A211">
        <f>ROW()</f>
        <v>211</v>
      </c>
      <c r="B211" s="27" t="s">
        <v>453</v>
      </c>
      <c r="C211" t="str">
        <f t="shared" si="33"/>
        <v>まいにち</v>
      </c>
      <c r="D211" t="str">
        <f t="shared" si="34"/>
        <v>（毎日）</v>
      </c>
      <c r="E211" t="str">
        <f t="shared" si="35"/>
        <v xml:space="preserve"> 〔名〕 每天，每日</v>
      </c>
    </row>
    <row r="212" spans="1:5" x14ac:dyDescent="0.15">
      <c r="A212">
        <f>ROW()</f>
        <v>212</v>
      </c>
      <c r="B212" s="27" t="s">
        <v>454</v>
      </c>
      <c r="C212" t="str">
        <f t="shared" si="33"/>
        <v>まいあさ</v>
      </c>
      <c r="D212" t="str">
        <f t="shared" si="34"/>
        <v>（毎朝）</v>
      </c>
      <c r="E212" t="str">
        <f t="shared" si="35"/>
        <v xml:space="preserve"> 〔名〕 每天早晨</v>
      </c>
    </row>
    <row r="213" spans="1:5" x14ac:dyDescent="0.15">
      <c r="A213">
        <f>ROW()</f>
        <v>213</v>
      </c>
      <c r="B213" s="27" t="s">
        <v>455</v>
      </c>
      <c r="C213" t="str">
        <f t="shared" si="33"/>
        <v>まいばん</v>
      </c>
      <c r="D213" t="str">
        <f t="shared" si="34"/>
        <v>（毎晩）</v>
      </c>
      <c r="E213" t="str">
        <f t="shared" si="35"/>
        <v xml:space="preserve"> 〔名〕 每天晚上</v>
      </c>
    </row>
    <row r="214" spans="1:5" x14ac:dyDescent="0.15">
      <c r="A214">
        <f>ROW()</f>
        <v>214</v>
      </c>
      <c r="B214" s="27" t="s">
        <v>456</v>
      </c>
      <c r="C214" t="str">
        <f t="shared" si="33"/>
        <v>まいしゅう</v>
      </c>
      <c r="D214" t="str">
        <f t="shared" si="34"/>
        <v>（毎週）</v>
      </c>
      <c r="E214" t="str">
        <f t="shared" si="35"/>
        <v xml:space="preserve"> 〔名〕 每个星期</v>
      </c>
    </row>
    <row r="215" spans="1:5" x14ac:dyDescent="0.15">
      <c r="A215">
        <f>ROW()</f>
        <v>215</v>
      </c>
      <c r="B215" s="27" t="s">
        <v>457</v>
      </c>
      <c r="C215" t="str">
        <f t="shared" si="33"/>
        <v>ごぜん</v>
      </c>
      <c r="D215" t="str">
        <f t="shared" si="34"/>
        <v>（午前）</v>
      </c>
      <c r="E215" t="str">
        <f t="shared" si="35"/>
        <v>∕エーエム(am) 〔名〕 上午</v>
      </c>
    </row>
    <row r="216" spans="1:5" x14ac:dyDescent="0.15">
      <c r="A216">
        <f>ROW()</f>
        <v>216</v>
      </c>
      <c r="B216" s="27" t="s">
        <v>458</v>
      </c>
      <c r="C216" t="str">
        <f t="shared" si="33"/>
        <v>ごご</v>
      </c>
      <c r="D216" t="str">
        <f t="shared" si="34"/>
        <v>（午後）</v>
      </c>
      <c r="E216" t="str">
        <f t="shared" si="35"/>
        <v>∕ピーエム(pm) 〔名〕 下午</v>
      </c>
    </row>
    <row r="217" spans="1:5" x14ac:dyDescent="0.15">
      <c r="A217">
        <f>ROW()</f>
        <v>217</v>
      </c>
      <c r="B217" s="27" t="s">
        <v>459</v>
      </c>
      <c r="C217" t="str">
        <f t="shared" si="33"/>
        <v>にちようび</v>
      </c>
      <c r="D217" t="str">
        <f t="shared" si="34"/>
        <v>（日曜日）</v>
      </c>
      <c r="E217" t="str">
        <f t="shared" si="35"/>
        <v xml:space="preserve"> 〔名〕 星期日</v>
      </c>
    </row>
    <row r="218" spans="1:5" x14ac:dyDescent="0.15">
      <c r="A218">
        <f>ROW()</f>
        <v>218</v>
      </c>
      <c r="B218" s="27" t="s">
        <v>460</v>
      </c>
      <c r="C218" t="str">
        <f t="shared" si="33"/>
        <v>げつようび</v>
      </c>
      <c r="D218" t="str">
        <f t="shared" si="34"/>
        <v>（月曜日）</v>
      </c>
      <c r="E218" t="str">
        <f t="shared" si="35"/>
        <v xml:space="preserve"> 〔名〕 星期一</v>
      </c>
    </row>
    <row r="219" spans="1:5" x14ac:dyDescent="0.15">
      <c r="A219">
        <f>ROW()</f>
        <v>219</v>
      </c>
      <c r="B219" s="27" t="s">
        <v>461</v>
      </c>
      <c r="C219" t="str">
        <f t="shared" si="33"/>
        <v>かようび</v>
      </c>
      <c r="D219" t="str">
        <f t="shared" si="34"/>
        <v>（火曜日）</v>
      </c>
      <c r="E219" t="str">
        <f t="shared" si="35"/>
        <v xml:space="preserve"> 〔名〕 星期二</v>
      </c>
    </row>
    <row r="220" spans="1:5" x14ac:dyDescent="0.15">
      <c r="A220">
        <f>ROW()</f>
        <v>220</v>
      </c>
      <c r="B220" s="27" t="s">
        <v>462</v>
      </c>
      <c r="C220" t="str">
        <f t="shared" si="33"/>
        <v>きんようび</v>
      </c>
      <c r="D220" t="str">
        <f t="shared" si="34"/>
        <v>（金曜日）</v>
      </c>
      <c r="E220" t="str">
        <f t="shared" si="35"/>
        <v xml:space="preserve"> 〔名〕 星期五</v>
      </c>
    </row>
    <row r="221" spans="1:5" x14ac:dyDescent="0.15">
      <c r="A221">
        <f>ROW()</f>
        <v>221</v>
      </c>
      <c r="B221" s="27" t="s">
        <v>463</v>
      </c>
      <c r="C221" t="str">
        <f t="shared" si="33"/>
        <v>どようび</v>
      </c>
      <c r="D221" t="str">
        <f t="shared" si="34"/>
        <v>（土曜日）</v>
      </c>
      <c r="E221" t="str">
        <f t="shared" si="35"/>
        <v xml:space="preserve"> 〔名〕 星期六</v>
      </c>
    </row>
    <row r="222" spans="1:5" x14ac:dyDescent="0.15">
      <c r="A222">
        <f>ROW()</f>
        <v>222</v>
      </c>
      <c r="B222" s="27" t="s">
        <v>464</v>
      </c>
      <c r="C222" t="str">
        <f t="shared" si="33"/>
        <v>けさ</v>
      </c>
      <c r="D222" t="str">
        <f t="shared" si="34"/>
        <v>（今朝）</v>
      </c>
      <c r="E222" t="str">
        <f t="shared" si="35"/>
        <v xml:space="preserve"> 〔名〕 今天早晨</v>
      </c>
    </row>
    <row r="223" spans="1:5" x14ac:dyDescent="0.15">
      <c r="A223">
        <f>ROW()</f>
        <v>223</v>
      </c>
      <c r="B223" s="27" t="s">
        <v>465</v>
      </c>
      <c r="C223" t="str">
        <f t="shared" si="33"/>
        <v>こんばん</v>
      </c>
      <c r="D223" t="str">
        <f t="shared" si="34"/>
        <v>（今晩）</v>
      </c>
      <c r="E223" t="str">
        <f t="shared" si="35"/>
        <v xml:space="preserve"> 〔名〕 今天晚上</v>
      </c>
    </row>
    <row r="224" spans="1:5" x14ac:dyDescent="0.15">
      <c r="A224">
        <f>ROW()</f>
        <v>224</v>
      </c>
      <c r="B224" s="27" t="s">
        <v>466</v>
      </c>
      <c r="C224" t="str">
        <f t="shared" si="33"/>
        <v>らいねん</v>
      </c>
      <c r="D224" t="str">
        <f t="shared" si="34"/>
        <v>（来年）</v>
      </c>
      <c r="E224" t="str">
        <f t="shared" si="35"/>
        <v xml:space="preserve"> 〔名〕 明年</v>
      </c>
    </row>
    <row r="225" spans="1:5" x14ac:dyDescent="0.15">
      <c r="A225">
        <f>ROW()</f>
        <v>225</v>
      </c>
      <c r="B225" s="27" t="s">
        <v>467</v>
      </c>
      <c r="C225" t="str">
        <f t="shared" si="33"/>
        <v>きょねん</v>
      </c>
      <c r="D225" t="str">
        <f t="shared" si="34"/>
        <v>（去年）</v>
      </c>
      <c r="E225" t="str">
        <f t="shared" si="35"/>
        <v xml:space="preserve"> 〔名〕 去年</v>
      </c>
    </row>
    <row r="226" spans="1:5" x14ac:dyDescent="0.15">
      <c r="A226">
        <f>ROW()</f>
        <v>226</v>
      </c>
      <c r="B226" s="27" t="s">
        <v>468</v>
      </c>
      <c r="C226" t="str">
        <f t="shared" si="33"/>
        <v>よる</v>
      </c>
      <c r="D226" t="str">
        <f t="shared" si="34"/>
        <v>（夜）</v>
      </c>
      <c r="E226" t="str">
        <f t="shared" si="35"/>
        <v xml:space="preserve"> 〔名〕 晚上，夜里，夜晚</v>
      </c>
    </row>
    <row r="227" spans="1:5" x14ac:dyDescent="0.15">
      <c r="A227">
        <f>ROW()</f>
        <v>227</v>
      </c>
      <c r="B227" s="27" t="s">
        <v>469</v>
      </c>
      <c r="C227" t="str">
        <f t="shared" si="33"/>
        <v>ばん</v>
      </c>
      <c r="D227" t="str">
        <f t="shared" si="34"/>
        <v>（晩）</v>
      </c>
      <c r="E227" t="str">
        <f t="shared" si="35"/>
        <v xml:space="preserve"> 〔名〕 晚上</v>
      </c>
    </row>
    <row r="228" spans="1:5" x14ac:dyDescent="0.15">
      <c r="A228">
        <f>ROW()</f>
        <v>228</v>
      </c>
      <c r="B228" s="27" t="s">
        <v>470</v>
      </c>
      <c r="C228" t="str">
        <f t="shared" si="33"/>
        <v>あさ</v>
      </c>
      <c r="D228" t="str">
        <f t="shared" si="34"/>
        <v>（朝）</v>
      </c>
      <c r="E228" t="str">
        <f t="shared" si="35"/>
        <v xml:space="preserve"> 〔名〕 早晨</v>
      </c>
    </row>
    <row r="229" spans="1:5" x14ac:dyDescent="0.15">
      <c r="A229">
        <f>ROW()</f>
        <v>229</v>
      </c>
      <c r="B229" s="27" t="s">
        <v>471</v>
      </c>
      <c r="C229" t="str">
        <f t="shared" si="33"/>
        <v>がっこう</v>
      </c>
      <c r="D229" t="str">
        <f t="shared" si="34"/>
        <v>（学校）</v>
      </c>
      <c r="E229" t="str">
        <f t="shared" si="35"/>
        <v xml:space="preserve"> 〔名〕 学校</v>
      </c>
    </row>
    <row r="230" spans="1:5" x14ac:dyDescent="0.15">
      <c r="A230">
        <f>ROW()</f>
        <v>230</v>
      </c>
      <c r="B230" s="27" t="s">
        <v>472</v>
      </c>
      <c r="C230" t="str">
        <f t="shared" si="33"/>
        <v>しけん</v>
      </c>
      <c r="D230" t="str">
        <f t="shared" si="34"/>
        <v>（試験）</v>
      </c>
      <c r="E230" t="str">
        <f t="shared" si="35"/>
        <v xml:space="preserve"> 〔名〕 考试</v>
      </c>
    </row>
    <row r="231" spans="1:5" x14ac:dyDescent="0.15">
      <c r="A231">
        <f>ROW()</f>
        <v>231</v>
      </c>
      <c r="B231" s="27" t="s">
        <v>473</v>
      </c>
      <c r="C231" t="str">
        <f t="shared" si="33"/>
        <v>しごと</v>
      </c>
      <c r="D231" t="str">
        <f t="shared" si="34"/>
        <v>（仕事）</v>
      </c>
      <c r="E231" t="str">
        <f t="shared" si="35"/>
        <v xml:space="preserve"> 〔名〕 工作</v>
      </c>
    </row>
    <row r="232" spans="1:5" x14ac:dyDescent="0.15">
      <c r="A232">
        <f>ROW()</f>
        <v>232</v>
      </c>
      <c r="B232" s="27" t="s">
        <v>474</v>
      </c>
      <c r="C232" t="str">
        <f t="shared" si="33"/>
        <v>ちこく</v>
      </c>
      <c r="D232" t="str">
        <f t="shared" si="34"/>
        <v>（遅刻）</v>
      </c>
      <c r="E232" t="str">
        <f t="shared" si="35"/>
        <v xml:space="preserve"> 〔名〕 迟到</v>
      </c>
    </row>
    <row r="233" spans="1:5" x14ac:dyDescent="0.15">
      <c r="A233">
        <f>ROW()</f>
        <v>233</v>
      </c>
      <c r="B233" s="27" t="s">
        <v>475</v>
      </c>
      <c r="C233" t="str">
        <f t="shared" si="33"/>
        <v>やすみ</v>
      </c>
      <c r="D233" t="str">
        <f t="shared" si="34"/>
        <v>（休み）</v>
      </c>
      <c r="E233" t="str">
        <f t="shared" si="35"/>
        <v xml:space="preserve"> 〔名〕 休息</v>
      </c>
    </row>
    <row r="234" spans="1:5" x14ac:dyDescent="0.15">
      <c r="A234">
        <f>ROW()</f>
        <v>234</v>
      </c>
      <c r="B234" s="27" t="s">
        <v>476</v>
      </c>
      <c r="C234" t="str">
        <f t="shared" si="33"/>
        <v>しゅっちょう</v>
      </c>
      <c r="D234" t="str">
        <f t="shared" si="34"/>
        <v>（出張）</v>
      </c>
      <c r="E234" t="str">
        <f t="shared" si="35"/>
        <v xml:space="preserve"> 〔名〕 出差</v>
      </c>
    </row>
    <row r="235" spans="1:5" x14ac:dyDescent="0.15">
      <c r="A235">
        <f>ROW()</f>
        <v>235</v>
      </c>
      <c r="B235" s="27" t="s">
        <v>477</v>
      </c>
      <c r="C235" t="str">
        <f t="shared" si="33"/>
        <v>けんしゅう</v>
      </c>
      <c r="D235" t="str">
        <f t="shared" si="34"/>
        <v>（研修）</v>
      </c>
      <c r="E235" t="str">
        <f t="shared" si="35"/>
        <v xml:space="preserve"> 〔名〕 进修</v>
      </c>
    </row>
    <row r="236" spans="1:5" x14ac:dyDescent="0.15">
      <c r="A236">
        <f>ROW()</f>
        <v>236</v>
      </c>
      <c r="B236" s="27" t="s">
        <v>478</v>
      </c>
      <c r="C236" t="str">
        <f t="shared" si="33"/>
        <v>りょこう</v>
      </c>
      <c r="D236" t="str">
        <f t="shared" si="34"/>
        <v>（旅行）</v>
      </c>
      <c r="E236" t="str">
        <f t="shared" si="35"/>
        <v xml:space="preserve"> 〔名〕 旅行</v>
      </c>
    </row>
    <row r="237" spans="1:5" x14ac:dyDescent="0.15">
      <c r="A237">
        <f>ROW()</f>
        <v>237</v>
      </c>
      <c r="B237" s="27" t="s">
        <v>479</v>
      </c>
      <c r="C237" t="str">
        <f t="shared" si="33"/>
        <v>てんらんかい</v>
      </c>
      <c r="D237" t="str">
        <f t="shared" si="34"/>
        <v>（展覧会）</v>
      </c>
      <c r="E237" t="str">
        <f t="shared" si="35"/>
        <v xml:space="preserve"> 〔名〕 展览会</v>
      </c>
    </row>
    <row r="238" spans="1:5" x14ac:dyDescent="0.15">
      <c r="A238">
        <f>ROW()</f>
        <v>238</v>
      </c>
      <c r="B238" s="27" t="s">
        <v>480</v>
      </c>
      <c r="C238" t="str">
        <f t="shared" si="33"/>
        <v>かんげいかい</v>
      </c>
      <c r="D238" t="str">
        <f t="shared" si="34"/>
        <v>（歓迎会）</v>
      </c>
      <c r="E238" t="str">
        <f t="shared" si="35"/>
        <v xml:space="preserve"> 〔名〕 欢迎会</v>
      </c>
    </row>
    <row r="239" spans="1:5" x14ac:dyDescent="0.15">
      <c r="A239">
        <f>ROW()</f>
        <v>239</v>
      </c>
      <c r="B239" s="27" t="s">
        <v>481</v>
      </c>
      <c r="C239" t="str">
        <f t="shared" ref="C239" si="40">LEFT(B239,FIND("〔",B239)-1)</f>
        <v xml:space="preserve">パーティー </v>
      </c>
      <c r="E239" t="str">
        <f t="shared" ref="E239" si="41">RIGHT(B239,LEN(B239)-FIND("〔",B239)+1)</f>
        <v>〔名〕 联欢会</v>
      </c>
    </row>
    <row r="240" spans="1:5" x14ac:dyDescent="0.15">
      <c r="A240">
        <f>ROW()</f>
        <v>240</v>
      </c>
      <c r="B240" s="27" t="s">
        <v>482</v>
      </c>
      <c r="C240" t="str">
        <f t="shared" ref="C240:C296" si="42">LEFT(B240,FIND("（",B240)-1)</f>
        <v>おたく</v>
      </c>
      <c r="D240" t="str">
        <f t="shared" ref="D240:D296" si="43">MID(B240,FIND("（",B240),FIND("）",B240)-FIND("（",B240)+1)</f>
        <v>（お宅）</v>
      </c>
      <c r="E240" t="str">
        <f t="shared" ref="E240:E296" si="44">RIGHT(B240,LEN(B240)-FIND("）",B240))</f>
        <v xml:space="preserve"> 〔名〕 府上，（您）家</v>
      </c>
    </row>
    <row r="241" spans="1:5" x14ac:dyDescent="0.15">
      <c r="A241">
        <f>ROW()</f>
        <v>241</v>
      </c>
      <c r="B241" s="27" t="s">
        <v>483</v>
      </c>
      <c r="C241" t="str">
        <f t="shared" ref="C241" si="45">LEFT(B241,FIND("〔",B241)-1)</f>
        <v xml:space="preserve">いつ </v>
      </c>
      <c r="E241" t="str">
        <f t="shared" ref="E241" si="46">RIGHT(B241,LEN(B241)-FIND("〔",B241)+1)</f>
        <v>〔疑〕 什么时候</v>
      </c>
    </row>
    <row r="242" spans="1:5" x14ac:dyDescent="0.15">
      <c r="A242">
        <f>ROW()</f>
        <v>242</v>
      </c>
      <c r="B242" s="27" t="s">
        <v>484</v>
      </c>
      <c r="C242" t="str">
        <f t="shared" si="42"/>
        <v>やすみます</v>
      </c>
      <c r="D242" t="str">
        <f t="shared" si="43"/>
        <v>（休みます）</v>
      </c>
      <c r="E242" t="str">
        <f t="shared" si="44"/>
        <v xml:space="preserve"> 〔动1〕 休息</v>
      </c>
    </row>
    <row r="243" spans="1:5" x14ac:dyDescent="0.15">
      <c r="A243">
        <f>ROW()</f>
        <v>243</v>
      </c>
      <c r="B243" s="27" t="s">
        <v>485</v>
      </c>
      <c r="C243" t="str">
        <f t="shared" si="42"/>
        <v>はたらきます</v>
      </c>
      <c r="D243" t="str">
        <f t="shared" si="43"/>
        <v>（働きます）</v>
      </c>
      <c r="E243" t="str">
        <f t="shared" si="44"/>
        <v xml:space="preserve"> 〔动1〕 工作</v>
      </c>
    </row>
    <row r="244" spans="1:5" x14ac:dyDescent="0.15">
      <c r="A244">
        <f>ROW()</f>
        <v>244</v>
      </c>
      <c r="B244" s="27" t="s">
        <v>486</v>
      </c>
      <c r="C244" t="str">
        <f t="shared" si="42"/>
        <v>はじまります</v>
      </c>
      <c r="D244" t="str">
        <f t="shared" si="43"/>
        <v>（始まります）</v>
      </c>
      <c r="E244" t="str">
        <f t="shared" si="44"/>
        <v xml:space="preserve"> 〔动1〕 开始</v>
      </c>
    </row>
    <row r="245" spans="1:5" x14ac:dyDescent="0.15">
      <c r="A245">
        <f>ROW()</f>
        <v>245</v>
      </c>
      <c r="B245" s="27" t="s">
        <v>487</v>
      </c>
      <c r="C245" t="str">
        <f t="shared" si="42"/>
        <v>おわります</v>
      </c>
      <c r="D245" t="str">
        <f t="shared" si="43"/>
        <v>（終わります）</v>
      </c>
      <c r="E245" t="str">
        <f t="shared" si="44"/>
        <v xml:space="preserve"> 〔动1〕 结束</v>
      </c>
    </row>
    <row r="246" spans="1:5" x14ac:dyDescent="0.15">
      <c r="A246">
        <f>ROW()</f>
        <v>246</v>
      </c>
      <c r="B246" s="27" t="s">
        <v>488</v>
      </c>
      <c r="C246" t="str">
        <f t="shared" si="42"/>
        <v>おきます</v>
      </c>
      <c r="D246" t="str">
        <f t="shared" si="43"/>
        <v>（起きます）</v>
      </c>
      <c r="E246" t="str">
        <f t="shared" si="44"/>
        <v xml:space="preserve"> 〔动2〕 起床</v>
      </c>
    </row>
    <row r="247" spans="1:5" x14ac:dyDescent="0.15">
      <c r="A247">
        <f>ROW()</f>
        <v>247</v>
      </c>
      <c r="B247" s="27" t="s">
        <v>489</v>
      </c>
      <c r="C247" t="str">
        <f t="shared" si="42"/>
        <v>ねます</v>
      </c>
      <c r="D247" t="str">
        <f t="shared" si="43"/>
        <v>（寝ます）</v>
      </c>
      <c r="E247" t="str">
        <f t="shared" si="44"/>
        <v xml:space="preserve"> 〔动2〕 睡觉</v>
      </c>
    </row>
    <row r="248" spans="1:5" x14ac:dyDescent="0.15">
      <c r="A248">
        <f>ROW()</f>
        <v>248</v>
      </c>
      <c r="B248" s="27" t="s">
        <v>490</v>
      </c>
      <c r="C248" t="str">
        <f t="shared" si="42"/>
        <v>べんきょうします</v>
      </c>
      <c r="D248" t="str">
        <f t="shared" si="43"/>
        <v>（勉強～）</v>
      </c>
      <c r="E248" t="str">
        <f t="shared" si="44"/>
        <v xml:space="preserve"> 〔动3〕 学习</v>
      </c>
    </row>
    <row r="249" spans="1:5" x14ac:dyDescent="0.15">
      <c r="A249">
        <f>ROW()</f>
        <v>249</v>
      </c>
      <c r="B249" s="27" t="s">
        <v>491</v>
      </c>
      <c r="C249" t="str">
        <f t="shared" ref="C249" si="47">LEFT(B249,FIND("〔",B249)-1)</f>
        <v xml:space="preserve">いつも </v>
      </c>
      <c r="E249" t="str">
        <f t="shared" ref="E249" si="48">RIGHT(B249,LEN(B249)-FIND("〔",B249)+1)</f>
        <v>〔副〕 经常，总是</v>
      </c>
    </row>
    <row r="250" spans="1:5" x14ac:dyDescent="0.15">
      <c r="A250">
        <f>ROW()</f>
        <v>250</v>
      </c>
      <c r="B250" s="27" t="s">
        <v>492</v>
      </c>
      <c r="C250" t="str">
        <f t="shared" si="42"/>
        <v>ペキンししゃ</v>
      </c>
      <c r="D250" t="str">
        <f t="shared" si="43"/>
        <v>（北京支社）</v>
      </c>
      <c r="E250" t="str">
        <f t="shared" si="44"/>
        <v xml:space="preserve"> 〔专〕 北京分社</v>
      </c>
    </row>
    <row r="251" spans="1:5" x14ac:dyDescent="0.15">
      <c r="A251">
        <f>ROW()</f>
        <v>251</v>
      </c>
      <c r="B251" s="27" t="s">
        <v>493</v>
      </c>
      <c r="C251" t="str">
        <f t="shared" si="42"/>
        <v>こうべ</v>
      </c>
      <c r="D251" t="str">
        <f t="shared" si="43"/>
        <v>（神戸）</v>
      </c>
      <c r="E251" t="str">
        <f t="shared" si="44"/>
        <v xml:space="preserve"> 〔专〕 神户</v>
      </c>
    </row>
    <row r="252" spans="1:5" x14ac:dyDescent="0.15">
      <c r="A252">
        <f>ROW()</f>
        <v>252</v>
      </c>
      <c r="B252" s="27" t="s">
        <v>494</v>
      </c>
      <c r="C252" t="str">
        <f>LEFT(B252,FIND(" ",B252)-1)</f>
        <v>おはよう</v>
      </c>
      <c r="E252" t="str">
        <f>RIGHT(B252,LEN(B252)-FIND(" ",B252)+1)</f>
        <v xml:space="preserve"> 你早</v>
      </c>
    </row>
    <row r="253" spans="1:5" x14ac:dyDescent="0.15">
      <c r="A253">
        <f>ROW()</f>
        <v>253</v>
      </c>
      <c r="B253" s="27" t="s">
        <v>495</v>
      </c>
      <c r="C253" t="str">
        <f t="shared" si="42"/>
        <v>らいげつ</v>
      </c>
      <c r="D253" t="str">
        <f t="shared" si="43"/>
        <v>（来月）</v>
      </c>
      <c r="E253" t="str">
        <f t="shared" si="44"/>
        <v xml:space="preserve"> 〔名〕 下个月</v>
      </c>
    </row>
    <row r="254" spans="1:5" x14ac:dyDescent="0.15">
      <c r="A254">
        <f>ROW()</f>
        <v>254</v>
      </c>
      <c r="B254" s="27" t="s">
        <v>496</v>
      </c>
      <c r="C254" t="str">
        <f t="shared" si="42"/>
        <v>せんげつ</v>
      </c>
      <c r="D254" t="str">
        <f t="shared" si="43"/>
        <v>（先月）</v>
      </c>
      <c r="E254" t="str">
        <f t="shared" si="44"/>
        <v xml:space="preserve"> 〔名〕 上个月</v>
      </c>
    </row>
    <row r="255" spans="1:5" x14ac:dyDescent="0.15">
      <c r="A255">
        <f>ROW()</f>
        <v>255</v>
      </c>
      <c r="B255" s="27" t="s">
        <v>497</v>
      </c>
      <c r="C255" t="str">
        <f t="shared" si="42"/>
        <v>よなか</v>
      </c>
      <c r="D255" t="str">
        <f t="shared" si="43"/>
        <v>（夜中）</v>
      </c>
      <c r="E255" t="str">
        <f t="shared" si="44"/>
        <v xml:space="preserve"> 〔名〕 午夜，半夜</v>
      </c>
    </row>
    <row r="256" spans="1:5" x14ac:dyDescent="0.15">
      <c r="A256">
        <f>ROW()</f>
        <v>256</v>
      </c>
      <c r="B256" s="27" t="s">
        <v>498</v>
      </c>
      <c r="C256" t="str">
        <f t="shared" ref="C256:C258" si="49">LEFT(B256,FIND("〔",B256)-1)</f>
        <v xml:space="preserve">ゆうべ </v>
      </c>
      <c r="E256" t="str">
        <f t="shared" ref="E256:E258" si="50">RIGHT(B256,LEN(B256)-FIND("〔",B256)+1)</f>
        <v>〔名〕 昨天晚上</v>
      </c>
    </row>
    <row r="257" spans="1:5" x14ac:dyDescent="0.15">
      <c r="A257">
        <f>ROW()</f>
        <v>257</v>
      </c>
      <c r="B257" s="27" t="s">
        <v>499</v>
      </c>
      <c r="C257" t="str">
        <f t="shared" si="49"/>
        <v xml:space="preserve">コンサート </v>
      </c>
      <c r="E257" t="str">
        <f t="shared" si="50"/>
        <v>〔名〕 音乐会</v>
      </c>
    </row>
    <row r="258" spans="1:5" x14ac:dyDescent="0.15">
      <c r="A258">
        <f>ROW()</f>
        <v>258</v>
      </c>
      <c r="B258" s="27" t="s">
        <v>500</v>
      </c>
      <c r="C258" t="str">
        <f t="shared" si="49"/>
        <v xml:space="preserve">クリスマス </v>
      </c>
      <c r="E258" t="str">
        <f t="shared" si="50"/>
        <v>〔名〕 圣诞节</v>
      </c>
    </row>
    <row r="259" spans="1:5" x14ac:dyDescent="0.15">
      <c r="A259">
        <f>ROW()</f>
        <v>259</v>
      </c>
      <c r="B259" s="27" t="s">
        <v>501</v>
      </c>
      <c r="C259" t="str">
        <f t="shared" si="42"/>
        <v>たんじょうび</v>
      </c>
      <c r="D259" t="str">
        <f t="shared" si="43"/>
        <v>（誕生日）</v>
      </c>
      <c r="E259" t="str">
        <f t="shared" si="44"/>
        <v xml:space="preserve"> 〔名〕 生日</v>
      </c>
    </row>
    <row r="260" spans="1:5" x14ac:dyDescent="0.15">
      <c r="A260">
        <f>ROW()</f>
        <v>260</v>
      </c>
      <c r="B260" s="27" t="s">
        <v>502</v>
      </c>
      <c r="C260" t="str">
        <f t="shared" si="42"/>
        <v>こどものひ</v>
      </c>
      <c r="D260" t="str">
        <f t="shared" si="43"/>
        <v>（こどもの日）</v>
      </c>
      <c r="E260" t="str">
        <f t="shared" si="44"/>
        <v xml:space="preserve"> 〔名〕 儿童节</v>
      </c>
    </row>
    <row r="261" spans="1:5" x14ac:dyDescent="0.15">
      <c r="A261">
        <f>ROW()</f>
        <v>261</v>
      </c>
      <c r="B261" s="27" t="s">
        <v>503</v>
      </c>
      <c r="C261" t="str">
        <f t="shared" si="42"/>
        <v>なつやすみ</v>
      </c>
      <c r="D261" t="str">
        <f t="shared" si="43"/>
        <v>（夏休み）</v>
      </c>
      <c r="E261" t="str">
        <f t="shared" si="44"/>
        <v xml:space="preserve"> 〔名〕 暑假</v>
      </c>
    </row>
    <row r="262" spans="1:5" x14ac:dyDescent="0.15">
      <c r="A262">
        <f>ROW()</f>
        <v>262</v>
      </c>
      <c r="B262" s="27" t="s">
        <v>504</v>
      </c>
      <c r="C262" t="str">
        <f t="shared" si="42"/>
        <v>こうつうきかん</v>
      </c>
      <c r="D262" t="str">
        <f t="shared" si="43"/>
        <v>（交通機関）</v>
      </c>
      <c r="E262" t="str">
        <f t="shared" si="44"/>
        <v xml:space="preserve"> 〔名〕 交通工具</v>
      </c>
    </row>
    <row r="263" spans="1:5" x14ac:dyDescent="0.15">
      <c r="A263">
        <f>ROW()</f>
        <v>263</v>
      </c>
      <c r="B263" s="27" t="s">
        <v>505</v>
      </c>
      <c r="C263" t="str">
        <f t="shared" si="42"/>
        <v>しんかんせん</v>
      </c>
      <c r="D263" t="str">
        <f t="shared" si="43"/>
        <v>（新幹線）</v>
      </c>
      <c r="E263" t="str">
        <f t="shared" si="44"/>
        <v xml:space="preserve"> 〔名〕 新干线</v>
      </c>
    </row>
    <row r="264" spans="1:5" x14ac:dyDescent="0.15">
      <c r="A264">
        <f>ROW()</f>
        <v>264</v>
      </c>
      <c r="B264" s="27" t="s">
        <v>506</v>
      </c>
      <c r="C264" t="str">
        <f t="shared" si="42"/>
        <v>ひこうき</v>
      </c>
      <c r="D264" t="str">
        <f t="shared" si="43"/>
        <v>（飛行機）</v>
      </c>
      <c r="E264" t="str">
        <f t="shared" si="44"/>
        <v xml:space="preserve"> 〔名〕 飞机</v>
      </c>
    </row>
    <row r="265" spans="1:5" x14ac:dyDescent="0.15">
      <c r="A265">
        <f>ROW()</f>
        <v>265</v>
      </c>
      <c r="B265" s="27" t="s">
        <v>507</v>
      </c>
      <c r="C265" t="str">
        <f t="shared" ref="C265" si="51">LEFT(B265,FIND("〔",B265)-1)</f>
        <v xml:space="preserve">フェリー </v>
      </c>
      <c r="E265" t="str">
        <f t="shared" ref="E265" si="52">RIGHT(B265,LEN(B265)-FIND("〔",B265)+1)</f>
        <v>〔名〕 渡轮</v>
      </c>
    </row>
    <row r="266" spans="1:5" x14ac:dyDescent="0.15">
      <c r="A266">
        <f>ROW()</f>
        <v>266</v>
      </c>
      <c r="B266" s="27" t="s">
        <v>508</v>
      </c>
      <c r="C266" t="str">
        <f t="shared" si="42"/>
        <v>でんしゃ</v>
      </c>
      <c r="D266" t="str">
        <f t="shared" si="43"/>
        <v>（電車）</v>
      </c>
      <c r="E266" t="str">
        <f t="shared" si="44"/>
        <v xml:space="preserve"> 〔名〕 电车</v>
      </c>
    </row>
    <row r="267" spans="1:5" x14ac:dyDescent="0.15">
      <c r="A267">
        <f>ROW()</f>
        <v>267</v>
      </c>
      <c r="B267" s="27" t="s">
        <v>509</v>
      </c>
      <c r="C267" t="str">
        <f t="shared" ref="C267:C268" si="53">LEFT(B267,FIND("〔",B267)-1)</f>
        <v xml:space="preserve">バス </v>
      </c>
      <c r="E267" t="str">
        <f t="shared" ref="E267:E268" si="54">RIGHT(B267,LEN(B267)-FIND("〔",B267)+1)</f>
        <v>〔名〕 公共汽车</v>
      </c>
    </row>
    <row r="268" spans="1:5" x14ac:dyDescent="0.15">
      <c r="A268">
        <f>ROW()</f>
        <v>268</v>
      </c>
      <c r="B268" s="27" t="s">
        <v>510</v>
      </c>
      <c r="C268" t="str">
        <f t="shared" si="53"/>
        <v xml:space="preserve">タクシー </v>
      </c>
      <c r="E268" t="str">
        <f t="shared" si="54"/>
        <v>〔名〕 出租车</v>
      </c>
    </row>
    <row r="269" spans="1:5" x14ac:dyDescent="0.15">
      <c r="A269">
        <f>ROW()</f>
        <v>269</v>
      </c>
      <c r="B269" s="27" t="s">
        <v>511</v>
      </c>
      <c r="C269" t="str">
        <f t="shared" si="42"/>
        <v>びじゅつかん</v>
      </c>
      <c r="D269" t="str">
        <f t="shared" si="43"/>
        <v>（美術館）</v>
      </c>
      <c r="E269" t="str">
        <f t="shared" si="44"/>
        <v xml:space="preserve"> 〔名〕 美术馆</v>
      </c>
    </row>
    <row r="270" spans="1:5" x14ac:dyDescent="0.15">
      <c r="A270">
        <f>ROW()</f>
        <v>270</v>
      </c>
      <c r="B270" s="27" t="s">
        <v>512</v>
      </c>
      <c r="C270" t="str">
        <f t="shared" ref="C270:C272" si="55">LEFT(B270,FIND("〔",B270)-1)</f>
        <v xml:space="preserve">アパート </v>
      </c>
      <c r="E270" t="str">
        <f t="shared" ref="E270:E272" si="56">RIGHT(B270,LEN(B270)-FIND("〔",B270)+1)</f>
        <v>〔名〕 公寓</v>
      </c>
    </row>
    <row r="271" spans="1:5" x14ac:dyDescent="0.15">
      <c r="A271">
        <f>ROW()</f>
        <v>271</v>
      </c>
      <c r="B271" s="27" t="s">
        <v>513</v>
      </c>
      <c r="C271" t="str">
        <f t="shared" si="55"/>
        <v xml:space="preserve">うち </v>
      </c>
      <c r="E271" t="str">
        <f t="shared" si="56"/>
        <v>〔名〕 家</v>
      </c>
    </row>
    <row r="272" spans="1:5" x14ac:dyDescent="0.15">
      <c r="A272">
        <f>ROW()</f>
        <v>272</v>
      </c>
      <c r="B272" s="27" t="s">
        <v>514</v>
      </c>
      <c r="C272" t="str">
        <f t="shared" si="55"/>
        <v xml:space="preserve">プール </v>
      </c>
      <c r="E272" t="str">
        <f t="shared" si="56"/>
        <v>〔名〕 游泳池</v>
      </c>
    </row>
    <row r="273" spans="1:5" x14ac:dyDescent="0.15">
      <c r="A273">
        <f>ROW()</f>
        <v>273</v>
      </c>
      <c r="B273" s="27" t="s">
        <v>515</v>
      </c>
      <c r="C273" t="str">
        <f t="shared" si="42"/>
        <v>ともだち</v>
      </c>
      <c r="D273" t="str">
        <f t="shared" si="43"/>
        <v>（友達）</v>
      </c>
      <c r="E273" t="str">
        <f t="shared" si="44"/>
        <v xml:space="preserve"> 〔名〕 朋友</v>
      </c>
    </row>
    <row r="274" spans="1:5" x14ac:dyDescent="0.15">
      <c r="A274">
        <f>ROW()</f>
        <v>274</v>
      </c>
      <c r="B274" s="27" t="s">
        <v>516</v>
      </c>
      <c r="C274" t="str">
        <f t="shared" si="42"/>
        <v>おとうと</v>
      </c>
      <c r="D274" t="str">
        <f t="shared" si="43"/>
        <v>（弟）</v>
      </c>
      <c r="E274" t="str">
        <f t="shared" si="44"/>
        <v xml:space="preserve"> 〔名〕 弟弟</v>
      </c>
    </row>
    <row r="275" spans="1:5" x14ac:dyDescent="0.15">
      <c r="A275">
        <f>ROW()</f>
        <v>275</v>
      </c>
      <c r="B275" s="27" t="s">
        <v>517</v>
      </c>
      <c r="C275" t="str">
        <f t="shared" si="42"/>
        <v>いきます</v>
      </c>
      <c r="D275" t="str">
        <f t="shared" si="43"/>
        <v>（行きます）</v>
      </c>
      <c r="E275" t="str">
        <f t="shared" si="44"/>
        <v xml:space="preserve"> 〔动1〕 去</v>
      </c>
    </row>
    <row r="276" spans="1:5" x14ac:dyDescent="0.15">
      <c r="A276">
        <f>ROW()</f>
        <v>276</v>
      </c>
      <c r="B276" s="27" t="s">
        <v>518</v>
      </c>
      <c r="C276" t="str">
        <f t="shared" si="42"/>
        <v>かえります</v>
      </c>
      <c r="D276" t="str">
        <f t="shared" si="43"/>
        <v>（帰ります）</v>
      </c>
      <c r="E276" t="str">
        <f t="shared" si="44"/>
        <v xml:space="preserve"> 〔动1〕 回来，回去</v>
      </c>
    </row>
    <row r="277" spans="1:5" x14ac:dyDescent="0.15">
      <c r="A277">
        <f>ROW()</f>
        <v>277</v>
      </c>
      <c r="B277" s="27" t="s">
        <v>519</v>
      </c>
      <c r="C277" t="str">
        <f t="shared" si="42"/>
        <v>きます</v>
      </c>
      <c r="D277" t="str">
        <f t="shared" si="43"/>
        <v>（来ます）</v>
      </c>
      <c r="E277" t="str">
        <f t="shared" si="44"/>
        <v xml:space="preserve"> 〔动3〕 来</v>
      </c>
    </row>
    <row r="278" spans="1:5" x14ac:dyDescent="0.15">
      <c r="A278">
        <f>ROW()</f>
        <v>278</v>
      </c>
      <c r="B278" s="27" t="s">
        <v>1284</v>
      </c>
      <c r="C278" t="str">
        <f t="shared" ref="C278:C280" si="57">LEFT(B278,FIND("〔",B278)-1)</f>
        <v xml:space="preserve">たしか </v>
      </c>
      <c r="E278" t="str">
        <f t="shared" ref="E278:E280" si="58">RIGHT(B278,LEN(B278)-FIND("〔",B278)+1)</f>
        <v>〔副〕 好像是，大概；的确</v>
      </c>
    </row>
    <row r="279" spans="1:5" x14ac:dyDescent="0.15">
      <c r="A279">
        <f>ROW()</f>
        <v>279</v>
      </c>
      <c r="B279" s="27" t="s">
        <v>520</v>
      </c>
      <c r="C279" t="str">
        <f t="shared" si="57"/>
        <v xml:space="preserve">まっすぐ </v>
      </c>
      <c r="E279" t="str">
        <f t="shared" si="58"/>
        <v>〔副〕 径直，笔直</v>
      </c>
    </row>
    <row r="280" spans="1:5" x14ac:dyDescent="0.15">
      <c r="A280">
        <f>ROW()</f>
        <v>280</v>
      </c>
      <c r="B280" s="27" t="s">
        <v>521</v>
      </c>
      <c r="C280" t="str">
        <f t="shared" si="57"/>
        <v xml:space="preserve">いっしょに </v>
      </c>
      <c r="E280" t="str">
        <f t="shared" si="58"/>
        <v>〔副〕 一起</v>
      </c>
    </row>
    <row r="281" spans="1:5" x14ac:dyDescent="0.15">
      <c r="A281">
        <f>ROW()</f>
        <v>281</v>
      </c>
      <c r="B281" s="27" t="s">
        <v>522</v>
      </c>
      <c r="C281" t="str">
        <f t="shared" si="42"/>
        <v>さとう</v>
      </c>
      <c r="D281" t="str">
        <f t="shared" si="43"/>
        <v>（佐藤）</v>
      </c>
      <c r="E281" t="str">
        <f t="shared" si="44"/>
        <v xml:space="preserve"> 〔专〕 佐藤</v>
      </c>
    </row>
    <row r="282" spans="1:5" x14ac:dyDescent="0.15">
      <c r="A282">
        <f>ROW()</f>
        <v>282</v>
      </c>
      <c r="B282" s="27" t="s">
        <v>523</v>
      </c>
      <c r="C282" t="str">
        <f t="shared" si="42"/>
        <v>ペキン</v>
      </c>
      <c r="D282" t="str">
        <f t="shared" si="43"/>
        <v>（北京）</v>
      </c>
      <c r="E282" t="str">
        <f t="shared" si="44"/>
        <v xml:space="preserve"> 〔专〕 北京</v>
      </c>
    </row>
    <row r="283" spans="1:5" x14ac:dyDescent="0.15">
      <c r="A283">
        <f>ROW()</f>
        <v>283</v>
      </c>
      <c r="B283" s="27" t="s">
        <v>524</v>
      </c>
      <c r="C283" t="str">
        <f t="shared" ref="C283" si="59">LEFT(B283,FIND("〔",B283)-1)</f>
        <v xml:space="preserve">アメリカ </v>
      </c>
      <c r="E283" t="str">
        <f t="shared" ref="E283" si="60">RIGHT(B283,LEN(B283)-FIND("〔",B283)+1)</f>
        <v>〔专〕 美国</v>
      </c>
    </row>
    <row r="284" spans="1:5" x14ac:dyDescent="0.15">
      <c r="A284">
        <f>ROW()</f>
        <v>284</v>
      </c>
      <c r="B284" s="27" t="s">
        <v>525</v>
      </c>
      <c r="C284" t="str">
        <f t="shared" si="42"/>
        <v>かんこく</v>
      </c>
      <c r="D284" t="str">
        <f t="shared" si="43"/>
        <v>（韓国）</v>
      </c>
      <c r="E284" t="str">
        <f t="shared" si="44"/>
        <v xml:space="preserve"> 〔专〕 韩国</v>
      </c>
    </row>
    <row r="285" spans="1:5" x14ac:dyDescent="0.15">
      <c r="A285">
        <f>ROW()</f>
        <v>285</v>
      </c>
      <c r="B285" s="27" t="s">
        <v>526</v>
      </c>
      <c r="C285" t="str">
        <f t="shared" ref="C285" si="61">LEFT(B285,FIND("〔",B285)-1)</f>
        <v xml:space="preserve">フランス </v>
      </c>
      <c r="E285" t="str">
        <f t="shared" ref="E285" si="62">RIGHT(B285,LEN(B285)-FIND("〔",B285)+1)</f>
        <v>〔专〕 法国</v>
      </c>
    </row>
    <row r="286" spans="1:5" x14ac:dyDescent="0.15">
      <c r="A286">
        <f>ROW()</f>
        <v>286</v>
      </c>
      <c r="B286" s="27" t="s">
        <v>527</v>
      </c>
      <c r="C286" t="str">
        <f t="shared" si="42"/>
        <v>ひろしま</v>
      </c>
      <c r="D286" t="str">
        <f t="shared" si="43"/>
        <v>（広島）</v>
      </c>
      <c r="E286" t="str">
        <f t="shared" si="44"/>
        <v xml:space="preserve"> 〔专〕 广岛</v>
      </c>
    </row>
    <row r="287" spans="1:5" x14ac:dyDescent="0.15">
      <c r="A287">
        <f>ROW()</f>
        <v>287</v>
      </c>
      <c r="B287" s="27" t="s">
        <v>528</v>
      </c>
      <c r="C287" t="str">
        <f t="shared" si="42"/>
        <v>きょうと</v>
      </c>
      <c r="D287" t="str">
        <f t="shared" si="43"/>
        <v>（京都）</v>
      </c>
      <c r="E287" t="str">
        <f t="shared" si="44"/>
        <v xml:space="preserve"> 〔专〕 京都</v>
      </c>
    </row>
    <row r="288" spans="1:5" x14ac:dyDescent="0.15">
      <c r="A288">
        <f>ROW()</f>
        <v>288</v>
      </c>
      <c r="B288" s="27" t="s">
        <v>529</v>
      </c>
      <c r="C288" t="str">
        <f t="shared" si="42"/>
        <v>ほっかいどう</v>
      </c>
      <c r="D288" t="str">
        <f t="shared" si="43"/>
        <v>（北海道）</v>
      </c>
      <c r="E288" t="str">
        <f t="shared" si="44"/>
        <v xml:space="preserve"> 〔专〕 北海道</v>
      </c>
    </row>
    <row r="289" spans="1:5" x14ac:dyDescent="0.15">
      <c r="A289">
        <f>ROW()</f>
        <v>289</v>
      </c>
      <c r="B289" s="27" t="s">
        <v>530</v>
      </c>
      <c r="C289" t="str">
        <f t="shared" si="42"/>
        <v>はこね</v>
      </c>
      <c r="D289" t="str">
        <f t="shared" si="43"/>
        <v>（箱根）</v>
      </c>
      <c r="E289" t="str">
        <f t="shared" si="44"/>
        <v xml:space="preserve"> 〔专〕 箱根</v>
      </c>
    </row>
    <row r="290" spans="1:5" x14ac:dyDescent="0.15">
      <c r="A290">
        <f>ROW()</f>
        <v>290</v>
      </c>
      <c r="B290" s="27" t="s">
        <v>531</v>
      </c>
      <c r="C290" t="str">
        <f t="shared" si="42"/>
        <v>ぎんざ</v>
      </c>
      <c r="D290" t="str">
        <f t="shared" si="43"/>
        <v>（銀座）</v>
      </c>
      <c r="E290" t="str">
        <f t="shared" si="44"/>
        <v xml:space="preserve"> 〔专〕 银座</v>
      </c>
    </row>
    <row r="291" spans="1:5" x14ac:dyDescent="0.15">
      <c r="A291">
        <f>ROW()</f>
        <v>291</v>
      </c>
      <c r="B291" s="27" t="s">
        <v>532</v>
      </c>
      <c r="C291" t="str">
        <f t="shared" si="42"/>
        <v>しぶや</v>
      </c>
      <c r="D291" t="str">
        <f t="shared" si="43"/>
        <v>（渋谷）</v>
      </c>
      <c r="E291" t="str">
        <f t="shared" si="44"/>
        <v xml:space="preserve"> 〔专〕 涩谷</v>
      </c>
    </row>
    <row r="292" spans="1:5" x14ac:dyDescent="0.15">
      <c r="A292">
        <f>ROW()</f>
        <v>292</v>
      </c>
      <c r="B292" s="27" t="s">
        <v>533</v>
      </c>
      <c r="C292" t="str">
        <f t="shared" si="42"/>
        <v>しんじゅく</v>
      </c>
      <c r="D292" t="str">
        <f t="shared" si="43"/>
        <v>（新宿）</v>
      </c>
      <c r="E292" t="str">
        <f t="shared" si="44"/>
        <v xml:space="preserve"> 〔专〕 新宿</v>
      </c>
    </row>
    <row r="293" spans="1:5" x14ac:dyDescent="0.15">
      <c r="A293">
        <f>ROW()</f>
        <v>293</v>
      </c>
      <c r="B293" s="27" t="s">
        <v>1283</v>
      </c>
      <c r="C293" t="str">
        <f t="shared" si="42"/>
        <v>おつかれさまでした</v>
      </c>
      <c r="D293" t="str">
        <f t="shared" si="43"/>
        <v>（お疲れ様でした）</v>
      </c>
      <c r="E293" t="str">
        <f t="shared" si="44"/>
        <v xml:space="preserve"> 够累的</v>
      </c>
    </row>
    <row r="294" spans="1:5" ht="26.25" x14ac:dyDescent="0.15">
      <c r="A294">
        <f>ROW()</f>
        <v>294</v>
      </c>
      <c r="B294" s="28" t="s">
        <v>1285</v>
      </c>
      <c r="C294" t="str">
        <f t="shared" si="42"/>
        <v>おさきにしつれいします</v>
      </c>
      <c r="D294" t="str">
        <f t="shared" si="43"/>
        <v>（お先に失礼します）</v>
      </c>
      <c r="E294" t="str">
        <f t="shared" si="44"/>
        <v xml:space="preserve"> 我先走了，我先告辞了</v>
      </c>
    </row>
    <row r="295" spans="1:5" x14ac:dyDescent="0.15">
      <c r="A295">
        <f>ROW()</f>
        <v>295</v>
      </c>
      <c r="B295" s="27" t="s">
        <v>534</v>
      </c>
      <c r="C295" t="str">
        <f t="shared" si="42"/>
        <v>あるいて</v>
      </c>
      <c r="D295" t="str">
        <f t="shared" si="43"/>
        <v>（歩いて）</v>
      </c>
      <c r="E295" t="str">
        <f t="shared" si="44"/>
        <v xml:space="preserve"> 步行</v>
      </c>
    </row>
    <row r="296" spans="1:5" x14ac:dyDescent="0.15">
      <c r="A296">
        <f>ROW()</f>
        <v>296</v>
      </c>
      <c r="B296" s="27" t="s">
        <v>1286</v>
      </c>
      <c r="C296" t="str">
        <f t="shared" si="42"/>
        <v>たいへんですね</v>
      </c>
      <c r="D296" t="str">
        <f t="shared" si="43"/>
        <v>（大変ですね）</v>
      </c>
      <c r="E296" t="str">
        <f t="shared" si="44"/>
        <v>真不容易，够受的，不得了</v>
      </c>
    </row>
    <row r="297" spans="1:5" x14ac:dyDescent="0.15">
      <c r="A297">
        <f>ROW()</f>
        <v>297</v>
      </c>
      <c r="B297" s="27" t="s">
        <v>535</v>
      </c>
      <c r="C297" t="str">
        <f t="shared" ref="C297:C298" si="63">LEFT(B297,FIND("〔",B297)-1)</f>
        <v xml:space="preserve">コーヒー </v>
      </c>
      <c r="E297" t="str">
        <f t="shared" ref="E297:E298" si="64">RIGHT(B297,LEN(B297)-FIND("〔",B297)+1)</f>
        <v>〔名〕 咖啡</v>
      </c>
    </row>
    <row r="298" spans="1:5" x14ac:dyDescent="0.15">
      <c r="A298">
        <f>ROW()</f>
        <v>298</v>
      </c>
      <c r="B298" s="27" t="s">
        <v>536</v>
      </c>
      <c r="C298" t="str">
        <f t="shared" si="63"/>
        <v xml:space="preserve">コーラ </v>
      </c>
      <c r="E298" t="str">
        <f t="shared" si="64"/>
        <v>〔名〕 可乐</v>
      </c>
    </row>
    <row r="299" spans="1:5" x14ac:dyDescent="0.15">
      <c r="A299">
        <f>ROW()</f>
        <v>299</v>
      </c>
      <c r="B299" s="27" t="s">
        <v>537</v>
      </c>
      <c r="C299" t="str">
        <f t="shared" ref="C299:C354" si="65">LEFT(B299,FIND("（",B299)-1)</f>
        <v>おちゃ</v>
      </c>
      <c r="D299" t="str">
        <f t="shared" ref="D299:D354" si="66">MID(B299,FIND("（",B299),FIND("）",B299)-FIND("（",B299)+1)</f>
        <v>（お茶）</v>
      </c>
      <c r="E299" t="str">
        <f t="shared" ref="E299:E354" si="67">RIGHT(B299,LEN(B299)-FIND("）",B299))</f>
        <v xml:space="preserve"> 〔名〕 茶</v>
      </c>
    </row>
    <row r="300" spans="1:5" x14ac:dyDescent="0.15">
      <c r="A300">
        <f>ROW()</f>
        <v>300</v>
      </c>
      <c r="B300" s="27" t="s">
        <v>538</v>
      </c>
      <c r="C300" t="str">
        <f t="shared" ref="C300:C302" si="68">LEFT(B300,FIND("〔",B300)-1)</f>
        <v xml:space="preserve">ワイン </v>
      </c>
      <c r="E300" t="str">
        <f t="shared" ref="E300:E302" si="69">RIGHT(B300,LEN(B300)-FIND("〔",B300)+1)</f>
        <v>〔名〕 葡萄酒</v>
      </c>
    </row>
    <row r="301" spans="1:5" x14ac:dyDescent="0.15">
      <c r="A301">
        <f>ROW()</f>
        <v>301</v>
      </c>
      <c r="B301" s="27" t="s">
        <v>539</v>
      </c>
      <c r="C301" t="str">
        <f t="shared" si="68"/>
        <v xml:space="preserve">バン </v>
      </c>
      <c r="E301" t="str">
        <f t="shared" si="69"/>
        <v>〔名〕 面包</v>
      </c>
    </row>
    <row r="302" spans="1:5" x14ac:dyDescent="0.15">
      <c r="A302">
        <f>ROW()</f>
        <v>302</v>
      </c>
      <c r="B302" s="27" t="s">
        <v>540</v>
      </c>
      <c r="C302" t="str">
        <f t="shared" si="68"/>
        <v xml:space="preserve">ケーキ </v>
      </c>
      <c r="E302" t="str">
        <f t="shared" si="69"/>
        <v>〔名〕 蛋糕</v>
      </c>
    </row>
    <row r="303" spans="1:5" x14ac:dyDescent="0.15">
      <c r="A303">
        <f>ROW()</f>
        <v>303</v>
      </c>
      <c r="B303" s="27" t="s">
        <v>541</v>
      </c>
      <c r="C303" t="str">
        <f t="shared" si="65"/>
        <v>おかゆ</v>
      </c>
      <c r="D303" t="str">
        <f t="shared" si="66"/>
        <v>（お粥）</v>
      </c>
      <c r="E303" t="str">
        <f t="shared" si="67"/>
        <v xml:space="preserve"> 〔名〕 粥</v>
      </c>
    </row>
    <row r="304" spans="1:5" x14ac:dyDescent="0.15">
      <c r="A304">
        <f>ROW()</f>
        <v>304</v>
      </c>
      <c r="B304" s="27" t="s">
        <v>542</v>
      </c>
      <c r="C304" t="str">
        <f t="shared" si="65"/>
        <v>ひるごはん</v>
      </c>
      <c r="D304" t="str">
        <f t="shared" si="66"/>
        <v>（昼ご飯）</v>
      </c>
      <c r="E304" t="str">
        <f t="shared" si="67"/>
        <v xml:space="preserve"> 〔名〕 午饭</v>
      </c>
    </row>
    <row r="305" spans="1:5" x14ac:dyDescent="0.15">
      <c r="A305">
        <f>ROW()</f>
        <v>305</v>
      </c>
      <c r="B305" s="27" t="s">
        <v>543</v>
      </c>
      <c r="C305" t="str">
        <f t="shared" si="65"/>
        <v>おべんとう</v>
      </c>
      <c r="D305" t="str">
        <f t="shared" si="66"/>
        <v>（お弁当）</v>
      </c>
      <c r="E305" t="str">
        <f t="shared" si="67"/>
        <v xml:space="preserve"> 〔名〕 盒饭</v>
      </c>
    </row>
    <row r="306" spans="1:5" x14ac:dyDescent="0.15">
      <c r="A306">
        <f>ROW()</f>
        <v>306</v>
      </c>
      <c r="B306" s="27" t="s">
        <v>544</v>
      </c>
      <c r="C306" t="str">
        <f t="shared" ref="C306:C307" si="70">LEFT(B306,FIND("〔",B306)-1)</f>
        <v xml:space="preserve">そば </v>
      </c>
      <c r="E306" t="str">
        <f t="shared" ref="E306:E307" si="71">RIGHT(B306,LEN(B306)-FIND("〔",B306)+1)</f>
        <v>〔名〕 荞麦面</v>
      </c>
    </row>
    <row r="307" spans="1:5" x14ac:dyDescent="0.15">
      <c r="A307">
        <f>ROW()</f>
        <v>307</v>
      </c>
      <c r="B307" s="27" t="s">
        <v>545</v>
      </c>
      <c r="C307" t="str">
        <f t="shared" si="70"/>
        <v xml:space="preserve">うどん </v>
      </c>
      <c r="E307" t="str">
        <f t="shared" si="71"/>
        <v>〔名〕 面条</v>
      </c>
    </row>
    <row r="308" spans="1:5" x14ac:dyDescent="0.15">
      <c r="A308">
        <f>ROW()</f>
        <v>308</v>
      </c>
      <c r="B308" s="27" t="s">
        <v>546</v>
      </c>
      <c r="C308" t="str">
        <f t="shared" si="65"/>
        <v>おやこどん</v>
      </c>
      <c r="D308" t="str">
        <f t="shared" si="66"/>
        <v>（親子丼）</v>
      </c>
      <c r="E308" t="str">
        <f t="shared" si="67"/>
        <v xml:space="preserve"> 〔名〕 鸡肉鸡蛋盖饭</v>
      </c>
    </row>
    <row r="309" spans="1:5" x14ac:dyDescent="0.15">
      <c r="A309">
        <f>ROW()</f>
        <v>309</v>
      </c>
      <c r="B309" s="27" t="s">
        <v>547</v>
      </c>
      <c r="C309" t="str">
        <f>LEFT(B309,FIND(" ",B309)-1)</f>
        <v>カレー</v>
      </c>
      <c r="E309" t="str">
        <f>RIGHT(B309,LEN(B309)-FIND(" ",B309))</f>
        <v>〔名〕 咖喱（饭）</v>
      </c>
    </row>
    <row r="310" spans="1:5" x14ac:dyDescent="0.15">
      <c r="A310">
        <f>ROW()</f>
        <v>310</v>
      </c>
      <c r="B310" s="27" t="s">
        <v>548</v>
      </c>
      <c r="C310" t="str">
        <f>LEFT(B310,FIND(" ",B310)-1)</f>
        <v>たまご（卵）</v>
      </c>
      <c r="E310" t="str">
        <f>RIGHT(B310,LEN(B310)-FIND(" ",B310))</f>
        <v>〔名〕 鸡蛋</v>
      </c>
    </row>
    <row r="311" spans="1:5" x14ac:dyDescent="0.15">
      <c r="A311">
        <f>ROW()</f>
        <v>311</v>
      </c>
      <c r="B311" s="27" t="s">
        <v>549</v>
      </c>
      <c r="C311" t="str">
        <f t="shared" ref="C311:C313" si="72">LEFT(B311,FIND("〔",B311)-1)</f>
        <v xml:space="preserve">チーズ </v>
      </c>
      <c r="E311" t="str">
        <f t="shared" ref="E311:E313" si="73">RIGHT(B311,LEN(B311)-FIND("〔",B311)+1)</f>
        <v>〔名〕 干酪</v>
      </c>
    </row>
    <row r="312" spans="1:5" x14ac:dyDescent="0.15">
      <c r="A312">
        <f>ROW()</f>
        <v>312</v>
      </c>
      <c r="B312" s="27" t="s">
        <v>550</v>
      </c>
      <c r="C312" t="str">
        <f t="shared" si="72"/>
        <v xml:space="preserve">リンゴ </v>
      </c>
      <c r="E312" t="str">
        <f t="shared" si="73"/>
        <v>〔名〕 苹果</v>
      </c>
    </row>
    <row r="313" spans="1:5" x14ac:dyDescent="0.15">
      <c r="A313">
        <f>ROW()</f>
        <v>313</v>
      </c>
      <c r="B313" s="27" t="s">
        <v>551</v>
      </c>
      <c r="C313" t="str">
        <f t="shared" si="72"/>
        <v xml:space="preserve">イチゴ </v>
      </c>
      <c r="E313" t="str">
        <f t="shared" si="73"/>
        <v>〔名〕 草莓</v>
      </c>
    </row>
    <row r="314" spans="1:5" x14ac:dyDescent="0.15">
      <c r="A314">
        <f>ROW()</f>
        <v>314</v>
      </c>
      <c r="B314" s="27" t="s">
        <v>552</v>
      </c>
      <c r="C314" t="str">
        <f t="shared" si="65"/>
        <v>そばや</v>
      </c>
      <c r="D314" t="str">
        <f t="shared" si="66"/>
        <v>（そば屋）</v>
      </c>
      <c r="E314" t="str">
        <f t="shared" si="67"/>
        <v xml:space="preserve"> 〔名〕 荞麦面馆</v>
      </c>
    </row>
    <row r="315" spans="1:5" x14ac:dyDescent="0.15">
      <c r="A315">
        <f>ROW()</f>
        <v>315</v>
      </c>
      <c r="B315" s="27" t="s">
        <v>553</v>
      </c>
      <c r="C315" t="str">
        <f t="shared" ref="C315:C317" si="74">LEFT(B315,FIND("〔",B315)-1)</f>
        <v xml:space="preserve">テニス </v>
      </c>
      <c r="E315" t="str">
        <f t="shared" ref="E315:E317" si="75">RIGHT(B315,LEN(B315)-FIND("〔",B315)+1)</f>
        <v>〔名〕 网球</v>
      </c>
    </row>
    <row r="316" spans="1:5" x14ac:dyDescent="0.15">
      <c r="A316">
        <f>ROW()</f>
        <v>316</v>
      </c>
      <c r="B316" s="27" t="s">
        <v>554</v>
      </c>
      <c r="C316" t="str">
        <f t="shared" si="74"/>
        <v xml:space="preserve">ジョギング </v>
      </c>
      <c r="E316" t="str">
        <f t="shared" si="75"/>
        <v>〔名〕 慢跑，跑步</v>
      </c>
    </row>
    <row r="317" spans="1:5" x14ac:dyDescent="0.15">
      <c r="A317">
        <f>ROW()</f>
        <v>317</v>
      </c>
      <c r="B317" s="27" t="s">
        <v>555</v>
      </c>
      <c r="C317" t="str">
        <f t="shared" si="74"/>
        <v xml:space="preserve">サッカー </v>
      </c>
      <c r="E317" t="str">
        <f t="shared" si="75"/>
        <v>〔名〕 足球</v>
      </c>
    </row>
    <row r="318" spans="1:5" x14ac:dyDescent="0.15">
      <c r="A318">
        <f>ROW()</f>
        <v>318</v>
      </c>
      <c r="B318" s="27" t="s">
        <v>556</v>
      </c>
      <c r="C318" t="str">
        <f t="shared" si="65"/>
        <v>やきゅう</v>
      </c>
      <c r="D318" t="str">
        <f t="shared" si="66"/>
        <v>（野球）</v>
      </c>
      <c r="E318" t="str">
        <f t="shared" si="67"/>
        <v xml:space="preserve"> 〔名〕 棒球</v>
      </c>
    </row>
    <row r="319" spans="1:5" x14ac:dyDescent="0.15">
      <c r="A319">
        <f>ROW()</f>
        <v>319</v>
      </c>
      <c r="B319" s="27" t="s">
        <v>557</v>
      </c>
      <c r="C319" t="str">
        <f t="shared" si="65"/>
        <v>もうしこみしょ</v>
      </c>
      <c r="D319" t="str">
        <f t="shared" si="66"/>
        <v>（申込書）</v>
      </c>
      <c r="E319" t="str">
        <f t="shared" si="67"/>
        <v xml:space="preserve"> 〔名〕 申请书</v>
      </c>
    </row>
    <row r="320" spans="1:5" x14ac:dyDescent="0.15">
      <c r="A320">
        <f>ROW()</f>
        <v>320</v>
      </c>
      <c r="B320" s="27" t="s">
        <v>558</v>
      </c>
      <c r="C320" t="str">
        <f t="shared" si="65"/>
        <v>てかみ</v>
      </c>
      <c r="D320" t="str">
        <f t="shared" si="66"/>
        <v>（手紙）</v>
      </c>
      <c r="E320" t="str">
        <f t="shared" si="67"/>
        <v xml:space="preserve"> 〔名〕 信</v>
      </c>
    </row>
    <row r="321" spans="1:5" x14ac:dyDescent="0.15">
      <c r="A321">
        <f>ROW()</f>
        <v>321</v>
      </c>
      <c r="B321" s="27" t="s">
        <v>559</v>
      </c>
      <c r="C321" t="str">
        <f t="shared" si="65"/>
        <v>シーディー</v>
      </c>
      <c r="D321" t="str">
        <f t="shared" si="66"/>
        <v>（ＣＤ）</v>
      </c>
      <c r="E321" t="str">
        <f t="shared" si="67"/>
        <v xml:space="preserve"> 〔名〕 CD</v>
      </c>
    </row>
    <row r="322" spans="1:5" x14ac:dyDescent="0.15">
      <c r="A322">
        <f>ROW()</f>
        <v>322</v>
      </c>
      <c r="B322" s="27" t="s">
        <v>560</v>
      </c>
      <c r="C322" t="str">
        <f t="shared" si="65"/>
        <v>おんがく</v>
      </c>
      <c r="D322" t="str">
        <f t="shared" si="66"/>
        <v>（音楽）</v>
      </c>
      <c r="E322" t="str">
        <f t="shared" si="67"/>
        <v xml:space="preserve"> 〔名〕 音乐</v>
      </c>
    </row>
    <row r="323" spans="1:5" x14ac:dyDescent="0.15">
      <c r="A323">
        <f>ROW()</f>
        <v>323</v>
      </c>
      <c r="B323" s="27" t="s">
        <v>561</v>
      </c>
      <c r="C323" t="str">
        <f t="shared" si="65"/>
        <v>えいが</v>
      </c>
      <c r="D323" t="str">
        <f t="shared" si="66"/>
        <v>（映画）</v>
      </c>
      <c r="E323" t="str">
        <f t="shared" si="67"/>
        <v xml:space="preserve"> 〔名〕 电影</v>
      </c>
    </row>
    <row r="324" spans="1:5" x14ac:dyDescent="0.15">
      <c r="A324">
        <f>ROW()</f>
        <v>324</v>
      </c>
      <c r="B324" s="27" t="s">
        <v>562</v>
      </c>
      <c r="C324" t="str">
        <f t="shared" si="65"/>
        <v>どうぶつえん</v>
      </c>
      <c r="D324" t="str">
        <f t="shared" si="66"/>
        <v>（動物園）</v>
      </c>
      <c r="E324" t="str">
        <f t="shared" si="67"/>
        <v xml:space="preserve"> 〔名〕 动物园</v>
      </c>
    </row>
    <row r="325" spans="1:5" x14ac:dyDescent="0.15">
      <c r="A325">
        <f>ROW()</f>
        <v>325</v>
      </c>
      <c r="B325" s="27" t="s">
        <v>563</v>
      </c>
      <c r="C325" t="str">
        <f t="shared" ref="C325" si="76">LEFT(B325,FIND("〔",B325)-1)</f>
        <v xml:space="preserve">バンダ </v>
      </c>
      <c r="E325" t="str">
        <f t="shared" ref="E325" si="77">RIGHT(B325,LEN(B325)-FIND("〔",B325)+1)</f>
        <v>〔名〕 熊猫</v>
      </c>
    </row>
    <row r="326" spans="1:5" x14ac:dyDescent="0.15">
      <c r="A326">
        <f>ROW()</f>
        <v>326</v>
      </c>
      <c r="B326" s="27" t="s">
        <v>564</v>
      </c>
      <c r="C326" t="str">
        <f t="shared" si="65"/>
        <v>のみます</v>
      </c>
      <c r="D326" t="str">
        <f t="shared" si="66"/>
        <v>（飲みます）</v>
      </c>
      <c r="E326" t="str">
        <f t="shared" si="67"/>
        <v xml:space="preserve"> 〔动1〕 喝</v>
      </c>
    </row>
    <row r="327" spans="1:5" x14ac:dyDescent="0.15">
      <c r="A327">
        <f>ROW()</f>
        <v>327</v>
      </c>
      <c r="B327" s="27" t="s">
        <v>565</v>
      </c>
      <c r="C327" t="str">
        <f t="shared" si="65"/>
        <v>かいます</v>
      </c>
      <c r="D327" t="str">
        <f t="shared" si="66"/>
        <v>（買います）</v>
      </c>
      <c r="E327" t="str">
        <f t="shared" si="67"/>
        <v xml:space="preserve"> 〔动1〕 买</v>
      </c>
    </row>
    <row r="328" spans="1:5" x14ac:dyDescent="0.15">
      <c r="A328">
        <f>ROW()</f>
        <v>328</v>
      </c>
      <c r="B328" s="27" t="s">
        <v>566</v>
      </c>
      <c r="C328" t="str">
        <f t="shared" si="65"/>
        <v>とります</v>
      </c>
      <c r="D328" t="str">
        <f t="shared" si="66"/>
        <v>（撮ります）</v>
      </c>
      <c r="E328" t="str">
        <f t="shared" si="67"/>
        <v xml:space="preserve"> 〔动1〕 拍照，拍摄</v>
      </c>
    </row>
    <row r="329" spans="1:5" x14ac:dyDescent="0.15">
      <c r="A329">
        <f>ROW()</f>
        <v>329</v>
      </c>
      <c r="B329" s="27" t="s">
        <v>567</v>
      </c>
      <c r="C329" t="str">
        <f t="shared" si="65"/>
        <v>かきます</v>
      </c>
      <c r="D329" t="str">
        <f t="shared" si="66"/>
        <v>（書きます）</v>
      </c>
      <c r="E329" t="str">
        <f t="shared" si="67"/>
        <v xml:space="preserve"> 〔动1〕 写</v>
      </c>
    </row>
    <row r="330" spans="1:5" x14ac:dyDescent="0.15">
      <c r="A330">
        <f>ROW()</f>
        <v>330</v>
      </c>
      <c r="B330" s="27" t="s">
        <v>568</v>
      </c>
      <c r="C330" t="str">
        <f t="shared" si="65"/>
        <v>よみます</v>
      </c>
      <c r="D330" t="str">
        <f t="shared" si="66"/>
        <v>（読みます）</v>
      </c>
      <c r="E330" t="str">
        <f t="shared" si="67"/>
        <v xml:space="preserve"> 〔动1〕 读</v>
      </c>
    </row>
    <row r="331" spans="1:5" x14ac:dyDescent="0.15">
      <c r="A331">
        <f>ROW()</f>
        <v>331</v>
      </c>
      <c r="B331" s="27" t="s">
        <v>569</v>
      </c>
      <c r="C331" t="str">
        <f t="shared" si="65"/>
        <v>ききます</v>
      </c>
      <c r="D331" t="str">
        <f t="shared" si="66"/>
        <v>（聞きます）</v>
      </c>
      <c r="E331" t="str">
        <f t="shared" si="67"/>
        <v xml:space="preserve"> 〔动1〕 听</v>
      </c>
    </row>
    <row r="332" spans="1:5" x14ac:dyDescent="0.15">
      <c r="A332">
        <f>ROW()</f>
        <v>332</v>
      </c>
      <c r="B332" s="27" t="s">
        <v>570</v>
      </c>
      <c r="C332" t="str">
        <f t="shared" si="65"/>
        <v>たべます</v>
      </c>
      <c r="D332" t="str">
        <f t="shared" si="66"/>
        <v>（食べます）</v>
      </c>
      <c r="E332" t="str">
        <f t="shared" si="67"/>
        <v xml:space="preserve"> 〔动2〕 吃</v>
      </c>
    </row>
    <row r="333" spans="1:5" x14ac:dyDescent="0.15">
      <c r="A333">
        <f>ROW()</f>
        <v>333</v>
      </c>
      <c r="B333" s="27" t="s">
        <v>571</v>
      </c>
      <c r="C333" t="str">
        <f t="shared" si="65"/>
        <v>みます</v>
      </c>
      <c r="D333" t="str">
        <f t="shared" si="66"/>
        <v>（見ます）</v>
      </c>
      <c r="E333" t="str">
        <f t="shared" si="67"/>
        <v xml:space="preserve"> 〔动2〕 看</v>
      </c>
    </row>
    <row r="334" spans="1:5" x14ac:dyDescent="0.15">
      <c r="A334">
        <f>ROW()</f>
        <v>334</v>
      </c>
      <c r="B334" s="27" t="s">
        <v>572</v>
      </c>
      <c r="C334" t="str">
        <f t="shared" ref="C334" si="78">LEFT(B334,FIND("〔",B334)-1)</f>
        <v xml:space="preserve">します </v>
      </c>
      <c r="E334" t="str">
        <f t="shared" ref="E334" si="79">RIGHT(B334,LEN(B334)-FIND("〔",B334)+1)</f>
        <v>〔动3〕 干，做</v>
      </c>
    </row>
    <row r="335" spans="1:5" x14ac:dyDescent="0.15">
      <c r="A335">
        <f>ROW()</f>
        <v>335</v>
      </c>
      <c r="B335" s="27" t="s">
        <v>573</v>
      </c>
      <c r="C335" t="str">
        <f t="shared" si="65"/>
        <v>そうじします</v>
      </c>
      <c r="D335" t="str">
        <f t="shared" si="66"/>
        <v>（掃除～）</v>
      </c>
      <c r="E335" t="str">
        <f t="shared" si="67"/>
        <v xml:space="preserve"> 〔动3〕 打扫，扫除</v>
      </c>
    </row>
    <row r="336" spans="1:5" x14ac:dyDescent="0.15">
      <c r="A336">
        <f>ROW()</f>
        <v>336</v>
      </c>
      <c r="B336" s="27" t="s">
        <v>574</v>
      </c>
      <c r="C336" t="str">
        <f t="shared" ref="C336:C337" si="80">LEFT(B336,FIND("〔",B336)-1)</f>
        <v xml:space="preserve">これから </v>
      </c>
      <c r="E336" t="str">
        <f t="shared" ref="E336:E337" si="81">RIGHT(B336,LEN(B336)-FIND("〔",B336)+1)</f>
        <v>〔副〕 从现在起，今后</v>
      </c>
    </row>
    <row r="337" spans="1:5" x14ac:dyDescent="0.15">
      <c r="A337">
        <f>ROW()</f>
        <v>337</v>
      </c>
      <c r="B337" s="27" t="s">
        <v>575</v>
      </c>
      <c r="C337" t="str">
        <f t="shared" si="80"/>
        <v xml:space="preserve">じゃあ∕では </v>
      </c>
      <c r="E337" t="str">
        <f t="shared" si="81"/>
        <v>〔连〕 那么</v>
      </c>
    </row>
    <row r="338" spans="1:5" x14ac:dyDescent="0.15">
      <c r="A338">
        <f>ROW()</f>
        <v>338</v>
      </c>
      <c r="B338" s="27" t="s">
        <v>576</v>
      </c>
      <c r="C338" t="str">
        <f>LEFT(B338,FIND(" ",B338)-1)</f>
        <v>いらっしゃいませ</v>
      </c>
      <c r="E338" t="str">
        <f>RIGHT(B338,LEN(B338)-FIND(" ",B338)+1)</f>
        <v xml:space="preserve"> 欢迎光临</v>
      </c>
    </row>
    <row r="339" spans="1:5" x14ac:dyDescent="0.15">
      <c r="A339">
        <f>ROW()</f>
        <v>339</v>
      </c>
      <c r="B339" s="27" t="s">
        <v>577</v>
      </c>
      <c r="C339" t="str">
        <f t="shared" si="65"/>
        <v>しつれいします</v>
      </c>
      <c r="D339" t="str">
        <f t="shared" si="66"/>
        <v>（失礼します）</v>
      </c>
      <c r="E339" t="str">
        <f t="shared" si="67"/>
        <v xml:space="preserve"> 告辞了，我走了</v>
      </c>
    </row>
    <row r="340" spans="1:5" x14ac:dyDescent="0.15">
      <c r="A340">
        <f>ROW()</f>
        <v>340</v>
      </c>
      <c r="B340" s="27" t="s">
        <v>578</v>
      </c>
      <c r="C340" t="str">
        <f t="shared" si="65"/>
        <v>しつれいしました</v>
      </c>
      <c r="D340" t="str">
        <f t="shared" si="66"/>
        <v>（失礼しました）</v>
      </c>
      <c r="E340" t="str">
        <f t="shared" si="67"/>
        <v xml:space="preserve"> 打搅了，失礼了</v>
      </c>
    </row>
    <row r="341" spans="1:5" x14ac:dyDescent="0.15">
      <c r="A341">
        <f>ROW()</f>
        <v>341</v>
      </c>
      <c r="B341" s="27" t="s">
        <v>579</v>
      </c>
      <c r="C341" t="str">
        <f>LEFT(B341,FIND(" ",B341)-1)</f>
        <v>いってまいります</v>
      </c>
      <c r="E341" t="str">
        <f>RIGHT(B341,LEN(B341)-FIND(" ",B341)+1)</f>
        <v xml:space="preserve"> 我走了</v>
      </c>
    </row>
    <row r="342" spans="1:5" x14ac:dyDescent="0.15">
      <c r="A342">
        <f>ROW()</f>
        <v>342</v>
      </c>
      <c r="B342" s="27" t="s">
        <v>1300</v>
      </c>
      <c r="C342" t="str">
        <f>LEFT(B342,FIND(" ",B342)-1)</f>
        <v>いってきます</v>
      </c>
      <c r="E342" t="str">
        <f>RIGHT(B342,LEN(B342)-FIND(" ",B342)+1)</f>
        <v xml:space="preserve"> 我走了</v>
      </c>
    </row>
    <row r="343" spans="1:5" x14ac:dyDescent="0.15">
      <c r="A343">
        <f>ROW()</f>
        <v>343</v>
      </c>
      <c r="B343" s="27" t="s">
        <v>580</v>
      </c>
      <c r="C343" t="str">
        <f>LEFT(B343,FIND(" ",B343)-1)</f>
        <v>いってらっしゃい</v>
      </c>
      <c r="E343" t="str">
        <f>RIGHT(B343,LEN(B343)-FIND(" ",B343)+1)</f>
        <v xml:space="preserve"> 你走好</v>
      </c>
    </row>
    <row r="344" spans="1:5" x14ac:dyDescent="0.15">
      <c r="A344">
        <f>ROW()</f>
        <v>344</v>
      </c>
      <c r="B344" s="27" t="s">
        <v>581</v>
      </c>
      <c r="C344" t="str">
        <f>LEFT(B344,FIND(" ",B344)-1)</f>
        <v>ただいま</v>
      </c>
      <c r="E344" t="str">
        <f>RIGHT(B344,LEN(B344)-FIND(" ",B344)+1)</f>
        <v xml:space="preserve"> 我回来了</v>
      </c>
    </row>
    <row r="345" spans="1:5" x14ac:dyDescent="0.15">
      <c r="A345">
        <f>ROW()</f>
        <v>345</v>
      </c>
      <c r="B345" s="27" t="s">
        <v>582</v>
      </c>
      <c r="C345" t="str">
        <f t="shared" si="65"/>
        <v>おかえりなさい</v>
      </c>
      <c r="D345" t="str">
        <f t="shared" si="66"/>
        <v>（お帰りなさい）</v>
      </c>
      <c r="E345" t="str">
        <f t="shared" si="67"/>
        <v xml:space="preserve"> 你回来了</v>
      </c>
    </row>
    <row r="346" spans="1:5" x14ac:dyDescent="0.15">
      <c r="A346">
        <f>ROW()</f>
        <v>346</v>
      </c>
      <c r="B346" s="27" t="s">
        <v>583</v>
      </c>
      <c r="C346" t="str">
        <f>LEFT(B346,FIND(" ",B346)-1)</f>
        <v>かしこまりました</v>
      </c>
      <c r="E346" t="str">
        <f>RIGHT(B346,LEN(B346)-FIND(" ",B346)+1)</f>
        <v xml:space="preserve"> 我知道了</v>
      </c>
    </row>
    <row r="347" spans="1:5" x14ac:dyDescent="0.15">
      <c r="A347">
        <f>ROW()</f>
        <v>347</v>
      </c>
      <c r="B347" s="27" t="s">
        <v>584</v>
      </c>
      <c r="C347" t="str">
        <f t="shared" si="65"/>
        <v>おじゃまします</v>
      </c>
      <c r="D347" t="str">
        <f t="shared" si="66"/>
        <v>（お邪魔します）</v>
      </c>
      <c r="E347" t="str">
        <f t="shared" si="67"/>
        <v xml:space="preserve"> 打扰了</v>
      </c>
    </row>
    <row r="348" spans="1:5" x14ac:dyDescent="0.15">
      <c r="A348">
        <f>ROW()</f>
        <v>348</v>
      </c>
      <c r="B348" s="27" t="s">
        <v>585</v>
      </c>
      <c r="C348" t="str">
        <f>LEFT(B348,FIND(" ",B348)-1)</f>
        <v>ください</v>
      </c>
      <c r="E348" t="str">
        <f>RIGHT(B348,LEN(B348)-FIND(" ",B348)+1)</f>
        <v xml:space="preserve"> 给我</v>
      </c>
    </row>
    <row r="349" spans="1:5" x14ac:dyDescent="0.15">
      <c r="A349">
        <f>ROW()</f>
        <v>349</v>
      </c>
      <c r="B349" s="27" t="s">
        <v>586</v>
      </c>
      <c r="C349" t="str">
        <f t="shared" si="65"/>
        <v>ごぜんちゅう</v>
      </c>
      <c r="D349" t="str">
        <f t="shared" si="66"/>
        <v>（午前中）</v>
      </c>
      <c r="E349" t="str">
        <f t="shared" si="67"/>
        <v xml:space="preserve"> 上午</v>
      </c>
    </row>
    <row r="350" spans="1:5" x14ac:dyDescent="0.15">
      <c r="A350">
        <f>ROW()</f>
        <v>350</v>
      </c>
      <c r="B350" s="27" t="s">
        <v>587</v>
      </c>
      <c r="C350" t="str">
        <f t="shared" ref="C350:C352" si="82">LEFT(B350,FIND("〔",B350)-1)</f>
        <v xml:space="preserve">ブレゼント </v>
      </c>
      <c r="E350" t="str">
        <f t="shared" ref="E350:E352" si="83">RIGHT(B350,LEN(B350)-FIND("〔",B350)+1)</f>
        <v>〔名〕 礼物</v>
      </c>
    </row>
    <row r="351" spans="1:5" x14ac:dyDescent="0.15">
      <c r="A351">
        <f>ROW()</f>
        <v>351</v>
      </c>
      <c r="B351" s="27" t="s">
        <v>588</v>
      </c>
      <c r="C351" t="str">
        <f t="shared" si="82"/>
        <v xml:space="preserve">チケット </v>
      </c>
      <c r="E351" t="str">
        <f t="shared" si="83"/>
        <v>〔名〕 票</v>
      </c>
    </row>
    <row r="352" spans="1:5" x14ac:dyDescent="0.15">
      <c r="A352">
        <f>ROW()</f>
        <v>352</v>
      </c>
      <c r="B352" s="27" t="s">
        <v>589</v>
      </c>
      <c r="C352" t="str">
        <f t="shared" si="82"/>
        <v xml:space="preserve">バンフレット </v>
      </c>
      <c r="E352" t="str">
        <f t="shared" si="83"/>
        <v>〔名〕 小册子</v>
      </c>
    </row>
    <row r="353" spans="1:5" x14ac:dyDescent="0.15">
      <c r="A353">
        <f>ROW()</f>
        <v>353</v>
      </c>
      <c r="B353" s="27" t="s">
        <v>590</v>
      </c>
      <c r="C353" t="str">
        <f t="shared" si="65"/>
        <v>きねんひん</v>
      </c>
      <c r="D353" t="str">
        <f t="shared" si="66"/>
        <v>（記念品）</v>
      </c>
      <c r="E353" t="str">
        <f t="shared" si="67"/>
        <v xml:space="preserve"> 〔名〕 纪念品</v>
      </c>
    </row>
    <row r="354" spans="1:5" x14ac:dyDescent="0.15">
      <c r="A354">
        <f>ROW()</f>
        <v>354</v>
      </c>
      <c r="B354" s="27" t="s">
        <v>591</v>
      </c>
      <c r="C354" t="str">
        <f t="shared" si="65"/>
        <v>スケジュールひょう</v>
      </c>
      <c r="D354" t="str">
        <f t="shared" si="66"/>
        <v>（～表）</v>
      </c>
      <c r="E354" t="str">
        <f t="shared" si="67"/>
        <v xml:space="preserve"> 〔名〕 日程表</v>
      </c>
    </row>
    <row r="355" spans="1:5" x14ac:dyDescent="0.15">
      <c r="A355">
        <f>ROW()</f>
        <v>355</v>
      </c>
      <c r="B355" s="27" t="s">
        <v>592</v>
      </c>
      <c r="C355" t="str">
        <f t="shared" ref="C355:C414" si="84">LEFT(B355,FIND("（",B355)-1)</f>
        <v>しゃしんしゅう</v>
      </c>
      <c r="D355" t="str">
        <f t="shared" ref="D355:D414" si="85">MID(B355,FIND("（",B355),FIND("）",B355)-FIND("（",B355)+1)</f>
        <v>（写真集）</v>
      </c>
      <c r="E355" t="str">
        <f t="shared" ref="E355:E414" si="86">RIGHT(B355,LEN(B355)-FIND("）",B355))</f>
        <v xml:space="preserve"> 〔名〕 影集</v>
      </c>
    </row>
    <row r="356" spans="1:5" x14ac:dyDescent="0.15">
      <c r="A356">
        <f>ROW()</f>
        <v>356</v>
      </c>
      <c r="B356" s="27" t="s">
        <v>593</v>
      </c>
      <c r="C356" t="str">
        <f t="shared" si="84"/>
        <v>はな</v>
      </c>
      <c r="D356" t="str">
        <f t="shared" si="85"/>
        <v>（花）</v>
      </c>
      <c r="E356" t="str">
        <f t="shared" si="86"/>
        <v xml:space="preserve"> 〔名〕 花</v>
      </c>
    </row>
    <row r="357" spans="1:5" x14ac:dyDescent="0.15">
      <c r="A357">
        <f>ROW()</f>
        <v>357</v>
      </c>
      <c r="B357" s="27" t="s">
        <v>594</v>
      </c>
      <c r="C357" t="str">
        <f t="shared" si="84"/>
        <v>おかね</v>
      </c>
      <c r="D357" t="str">
        <f t="shared" si="85"/>
        <v>（お金）</v>
      </c>
      <c r="E357" t="str">
        <f t="shared" si="86"/>
        <v xml:space="preserve"> 〔名〕 钱，金钱</v>
      </c>
    </row>
    <row r="358" spans="1:5" x14ac:dyDescent="0.15">
      <c r="A358">
        <f>ROW()</f>
        <v>358</v>
      </c>
      <c r="B358" s="27" t="s">
        <v>595</v>
      </c>
      <c r="C358" t="str">
        <f t="shared" ref="C358" si="87">LEFT(B358,FIND("〔",B358)-1)</f>
        <v xml:space="preserve">ボールペン </v>
      </c>
      <c r="E358" t="str">
        <f t="shared" ref="E358" si="88">RIGHT(B358,LEN(B358)-FIND("〔",B358)+1)</f>
        <v>〔名〕 圆珠笔</v>
      </c>
    </row>
    <row r="359" spans="1:5" x14ac:dyDescent="0.15">
      <c r="A359">
        <f>ROW()</f>
        <v>359</v>
      </c>
      <c r="B359" s="27" t="s">
        <v>596</v>
      </c>
      <c r="C359" t="str">
        <f t="shared" si="84"/>
        <v>しゅくだい</v>
      </c>
      <c r="D359" t="str">
        <f t="shared" si="85"/>
        <v>（宿題）</v>
      </c>
      <c r="E359" t="str">
        <f t="shared" si="86"/>
        <v xml:space="preserve"> 〔名〕 作业</v>
      </c>
    </row>
    <row r="360" spans="1:5" x14ac:dyDescent="0.15">
      <c r="A360">
        <f>ROW()</f>
        <v>360</v>
      </c>
      <c r="B360" s="27" t="s">
        <v>597</v>
      </c>
      <c r="C360" t="str">
        <f t="shared" si="84"/>
        <v>こうくうびん</v>
      </c>
      <c r="D360" t="str">
        <f t="shared" si="85"/>
        <v>（航空便）</v>
      </c>
      <c r="E360" t="str">
        <f t="shared" si="86"/>
        <v xml:space="preserve"> 〔名〕 航空邮件</v>
      </c>
    </row>
    <row r="361" spans="1:5" x14ac:dyDescent="0.15">
      <c r="A361">
        <f>ROW()</f>
        <v>361</v>
      </c>
      <c r="B361" s="27" t="s">
        <v>598</v>
      </c>
      <c r="C361" t="str">
        <f t="shared" si="84"/>
        <v>そくたつ</v>
      </c>
      <c r="D361" t="str">
        <f t="shared" si="85"/>
        <v>（速達）</v>
      </c>
      <c r="E361" t="str">
        <f t="shared" si="86"/>
        <v xml:space="preserve"> 〔名〕 速递，快件</v>
      </c>
    </row>
    <row r="362" spans="1:5" x14ac:dyDescent="0.15">
      <c r="A362">
        <f>ROW()</f>
        <v>362</v>
      </c>
      <c r="B362" s="27" t="s">
        <v>599</v>
      </c>
      <c r="C362" t="str">
        <f t="shared" ref="C362:C363" si="89">LEFT(B362,FIND("〔",B362)-1)</f>
        <v xml:space="preserve">ファックス </v>
      </c>
      <c r="E362" t="str">
        <f t="shared" ref="E362:E363" si="90">RIGHT(B362,LEN(B362)-FIND("〔",B362)+1)</f>
        <v>〔名〕 传真</v>
      </c>
    </row>
    <row r="363" spans="1:5" x14ac:dyDescent="0.15">
      <c r="A363">
        <f>ROW()</f>
        <v>363</v>
      </c>
      <c r="B363" s="27" t="s">
        <v>600</v>
      </c>
      <c r="C363" t="str">
        <f t="shared" si="89"/>
        <v xml:space="preserve">メール </v>
      </c>
      <c r="E363" t="str">
        <f t="shared" si="90"/>
        <v>〔名〕 邮件</v>
      </c>
    </row>
    <row r="364" spans="1:5" x14ac:dyDescent="0.15">
      <c r="A364">
        <f>ROW()</f>
        <v>364</v>
      </c>
      <c r="B364" s="27" t="s">
        <v>601</v>
      </c>
      <c r="C364" t="str">
        <f t="shared" si="84"/>
        <v>でんおばんごう</v>
      </c>
      <c r="D364" t="str">
        <f t="shared" si="85"/>
        <v>（電話番号）</v>
      </c>
      <c r="E364" t="str">
        <f t="shared" si="86"/>
        <v xml:space="preserve"> 〔名〕 电话号码</v>
      </c>
    </row>
    <row r="365" spans="1:5" x14ac:dyDescent="0.15">
      <c r="A365">
        <f>ROW()</f>
        <v>365</v>
      </c>
      <c r="B365" s="27" t="s">
        <v>602</v>
      </c>
      <c r="C365" t="str">
        <f t="shared" si="84"/>
        <v>じゅうしょ</v>
      </c>
      <c r="D365" t="str">
        <f t="shared" si="85"/>
        <v>（住所）</v>
      </c>
      <c r="E365" t="str">
        <f t="shared" si="86"/>
        <v xml:space="preserve"> 〔名〕 住址</v>
      </c>
    </row>
    <row r="366" spans="1:5" x14ac:dyDescent="0.15">
      <c r="A366">
        <f>ROW()</f>
        <v>366</v>
      </c>
      <c r="B366" s="27" t="s">
        <v>603</v>
      </c>
      <c r="C366" t="str">
        <f t="shared" si="84"/>
        <v>なまえ</v>
      </c>
      <c r="D366" t="str">
        <f t="shared" si="85"/>
        <v>（名前）</v>
      </c>
      <c r="E366" t="str">
        <f t="shared" si="86"/>
        <v xml:space="preserve"> 〔名〕 姓名</v>
      </c>
    </row>
    <row r="367" spans="1:5" x14ac:dyDescent="0.15">
      <c r="A367">
        <f>ROW()</f>
        <v>367</v>
      </c>
      <c r="B367" s="27" t="s">
        <v>604</v>
      </c>
      <c r="C367" t="str">
        <f t="shared" si="84"/>
        <v>けん</v>
      </c>
      <c r="D367" t="str">
        <f t="shared" si="85"/>
        <v>（件）</v>
      </c>
      <c r="E367" t="str">
        <f t="shared" si="86"/>
        <v xml:space="preserve"> 〔名〕 事件，事情</v>
      </c>
    </row>
    <row r="368" spans="1:5" x14ac:dyDescent="0.15">
      <c r="A368">
        <f>ROW()</f>
        <v>368</v>
      </c>
      <c r="B368" s="27" t="s">
        <v>605</v>
      </c>
      <c r="C368" t="str">
        <f t="shared" si="84"/>
        <v>しんぶんし</v>
      </c>
      <c r="D368" t="str">
        <f t="shared" si="85"/>
        <v>（新聞紙）</v>
      </c>
      <c r="E368" t="str">
        <f t="shared" si="86"/>
        <v xml:space="preserve"> 〔名〕 报纸</v>
      </c>
    </row>
    <row r="369" spans="1:5" x14ac:dyDescent="0.15">
      <c r="A369">
        <f>ROW()</f>
        <v>369</v>
      </c>
      <c r="B369" s="27" t="s">
        <v>606</v>
      </c>
      <c r="C369" t="str">
        <f t="shared" si="84"/>
        <v>かみひこうき</v>
      </c>
      <c r="D369" t="str">
        <f t="shared" si="85"/>
        <v>（紙飛行機）</v>
      </c>
      <c r="E369" t="str">
        <f t="shared" si="86"/>
        <v xml:space="preserve"> 〔名〕 纸折的飞机</v>
      </c>
    </row>
    <row r="370" spans="1:5" x14ac:dyDescent="0.15">
      <c r="A370">
        <f>ROW()</f>
        <v>370</v>
      </c>
      <c r="B370" s="27" t="s">
        <v>607</v>
      </c>
      <c r="C370" t="str">
        <f t="shared" ref="C370:C371" si="91">LEFT(B370,FIND("〔",B370)-1)</f>
        <v xml:space="preserve">チョコレート </v>
      </c>
      <c r="E370" t="str">
        <f t="shared" ref="E370:E371" si="92">RIGHT(B370,LEN(B370)-FIND("〔",B370)+1)</f>
        <v>〔名〕 巧克力</v>
      </c>
    </row>
    <row r="371" spans="1:5" x14ac:dyDescent="0.15">
      <c r="A371">
        <f>ROW()</f>
        <v>371</v>
      </c>
      <c r="B371" s="27" t="s">
        <v>608</v>
      </c>
      <c r="C371" t="str">
        <f t="shared" si="91"/>
        <v xml:space="preserve">アイスクリーム </v>
      </c>
      <c r="E371" t="str">
        <f t="shared" si="92"/>
        <v>〔名〕 冰激凌</v>
      </c>
    </row>
    <row r="372" spans="1:5" x14ac:dyDescent="0.15">
      <c r="A372">
        <f>ROW()</f>
        <v>372</v>
      </c>
      <c r="B372" s="27" t="s">
        <v>609</v>
      </c>
      <c r="C372" t="str">
        <f t="shared" si="84"/>
        <v>こむぎこ</v>
      </c>
      <c r="D372" t="str">
        <f t="shared" si="85"/>
        <v>（小麦粉）</v>
      </c>
      <c r="E372" t="str">
        <f t="shared" si="86"/>
        <v xml:space="preserve"> 〔名〕 面粉</v>
      </c>
    </row>
    <row r="373" spans="1:5" x14ac:dyDescent="0.15">
      <c r="A373">
        <f>ROW()</f>
        <v>373</v>
      </c>
      <c r="B373" s="27" t="s">
        <v>610</v>
      </c>
      <c r="C373" t="str">
        <f t="shared" ref="C373:C374" si="93">LEFT(B373,FIND("〔",B373)-1)</f>
        <v xml:space="preserve">はし </v>
      </c>
      <c r="E373" t="str">
        <f t="shared" ref="E373:E374" si="94">RIGHT(B373,LEN(B373)-FIND("〔",B373)+1)</f>
        <v>〔名〕 筷子</v>
      </c>
    </row>
    <row r="374" spans="1:5" x14ac:dyDescent="0.15">
      <c r="A374">
        <f>ROW()</f>
        <v>374</v>
      </c>
      <c r="B374" s="27" t="s">
        <v>611</v>
      </c>
      <c r="C374" t="str">
        <f t="shared" si="93"/>
        <v xml:space="preserve">スプーン </v>
      </c>
      <c r="E374" t="str">
        <f t="shared" si="94"/>
        <v>〔名〕 勺子</v>
      </c>
    </row>
    <row r="375" spans="1:5" x14ac:dyDescent="0.15">
      <c r="A375">
        <f>ROW()</f>
        <v>375</v>
      </c>
      <c r="B375" s="27" t="s">
        <v>612</v>
      </c>
      <c r="C375" t="str">
        <f t="shared" si="84"/>
        <v>おにいさん</v>
      </c>
      <c r="D375" t="str">
        <f t="shared" si="85"/>
        <v>（お兄さん）</v>
      </c>
      <c r="E375" t="str">
        <f t="shared" si="86"/>
        <v xml:space="preserve"> 〔名〕 哥哥</v>
      </c>
    </row>
    <row r="376" spans="1:5" x14ac:dyDescent="0.15">
      <c r="A376">
        <f>ROW()</f>
        <v>376</v>
      </c>
      <c r="B376" s="27" t="s">
        <v>613</v>
      </c>
      <c r="C376" t="str">
        <f t="shared" si="84"/>
        <v>かんこくご</v>
      </c>
      <c r="D376" t="str">
        <f t="shared" si="85"/>
        <v>（韓国語）</v>
      </c>
      <c r="E376" t="str">
        <f t="shared" si="86"/>
        <v xml:space="preserve"> 〔名〕 韩语</v>
      </c>
    </row>
    <row r="377" spans="1:5" x14ac:dyDescent="0.15">
      <c r="A377">
        <f>ROW()</f>
        <v>377</v>
      </c>
      <c r="B377" s="27" t="s">
        <v>614</v>
      </c>
      <c r="C377" t="str">
        <f t="shared" si="84"/>
        <v>ゆうがた</v>
      </c>
      <c r="D377" t="str">
        <f t="shared" si="85"/>
        <v>（夕方）</v>
      </c>
      <c r="E377" t="str">
        <f t="shared" si="86"/>
        <v xml:space="preserve"> 〔名〕 傍晚</v>
      </c>
    </row>
    <row r="378" spans="1:5" x14ac:dyDescent="0.15">
      <c r="A378">
        <f>ROW()</f>
        <v>378</v>
      </c>
      <c r="B378" s="27" t="s">
        <v>615</v>
      </c>
      <c r="C378" t="str">
        <f t="shared" si="84"/>
        <v>ひるやすみ</v>
      </c>
      <c r="D378" t="str">
        <f t="shared" si="85"/>
        <v>（昼休み）</v>
      </c>
      <c r="E378" t="str">
        <f t="shared" si="86"/>
        <v xml:space="preserve"> 〔名〕 午休</v>
      </c>
    </row>
    <row r="379" spans="1:5" x14ac:dyDescent="0.15">
      <c r="A379">
        <f>ROW()</f>
        <v>379</v>
      </c>
      <c r="B379" s="27" t="s">
        <v>616</v>
      </c>
      <c r="C379" t="str">
        <f t="shared" ref="C379" si="95">LEFT(B379,FIND("〔",B379)-1)</f>
        <v xml:space="preserve">もらいます </v>
      </c>
      <c r="E379" t="str">
        <f t="shared" ref="E379" si="96">RIGHT(B379,LEN(B379)-FIND("〔",B379)+1)</f>
        <v>〔动1〕 拿到，得到</v>
      </c>
    </row>
    <row r="380" spans="1:5" x14ac:dyDescent="0.15">
      <c r="A380">
        <f>ROW()</f>
        <v>380</v>
      </c>
      <c r="B380" s="27" t="s">
        <v>617</v>
      </c>
      <c r="C380" t="str">
        <f t="shared" si="84"/>
        <v>あいます</v>
      </c>
      <c r="D380" t="str">
        <f t="shared" si="85"/>
        <v>（会います）</v>
      </c>
      <c r="E380" t="str">
        <f t="shared" si="86"/>
        <v xml:space="preserve"> 〔动1〕 见</v>
      </c>
    </row>
    <row r="381" spans="1:5" x14ac:dyDescent="0.15">
      <c r="A381">
        <f>ROW()</f>
        <v>381</v>
      </c>
      <c r="B381" s="27" t="s">
        <v>618</v>
      </c>
      <c r="C381" t="str">
        <f t="shared" si="84"/>
        <v>おくります</v>
      </c>
      <c r="D381" t="str">
        <f t="shared" si="85"/>
        <v>（送ります）</v>
      </c>
      <c r="E381" t="str">
        <f t="shared" si="86"/>
        <v xml:space="preserve"> 〔动1〕 寄</v>
      </c>
    </row>
    <row r="382" spans="1:5" x14ac:dyDescent="0.15">
      <c r="A382">
        <f>ROW()</f>
        <v>382</v>
      </c>
      <c r="B382" s="27" t="s">
        <v>619</v>
      </c>
      <c r="C382" t="str">
        <f t="shared" si="84"/>
        <v>つくります</v>
      </c>
      <c r="D382" t="str">
        <f t="shared" si="85"/>
        <v>（作ります）</v>
      </c>
      <c r="E382" t="str">
        <f t="shared" si="86"/>
        <v xml:space="preserve"> 〔动1〕 做，制造</v>
      </c>
    </row>
    <row r="383" spans="1:5" x14ac:dyDescent="0.15">
      <c r="A383">
        <f>ROW()</f>
        <v>383</v>
      </c>
      <c r="B383" s="27" t="s">
        <v>620</v>
      </c>
      <c r="C383" t="str">
        <f t="shared" si="84"/>
        <v>ふとります</v>
      </c>
      <c r="D383" t="str">
        <f t="shared" si="85"/>
        <v>（太ります）</v>
      </c>
      <c r="E383" t="str">
        <f t="shared" si="86"/>
        <v xml:space="preserve"> 〔动1〕 胖</v>
      </c>
    </row>
    <row r="384" spans="1:5" x14ac:dyDescent="0.15">
      <c r="A384">
        <f>ROW()</f>
        <v>384</v>
      </c>
      <c r="B384" s="27" t="s">
        <v>621</v>
      </c>
      <c r="C384" t="str">
        <f t="shared" si="84"/>
        <v>だします</v>
      </c>
      <c r="D384" t="str">
        <f t="shared" si="85"/>
        <v>（出します）</v>
      </c>
      <c r="E384" t="str">
        <f t="shared" si="86"/>
        <v xml:space="preserve"> 〔动1〕 寄（信）</v>
      </c>
    </row>
    <row r="385" spans="1:5" x14ac:dyDescent="0.15">
      <c r="A385">
        <f>ROW()</f>
        <v>385</v>
      </c>
      <c r="B385" s="27" t="s">
        <v>622</v>
      </c>
      <c r="C385" t="str">
        <f t="shared" si="84"/>
        <v>とどきます</v>
      </c>
      <c r="D385" t="str">
        <f t="shared" si="85"/>
        <v>（届きます）</v>
      </c>
      <c r="E385" t="str">
        <f t="shared" si="86"/>
        <v xml:space="preserve"> 〔动1〕 收到，送到，寄到</v>
      </c>
    </row>
    <row r="386" spans="1:5" x14ac:dyDescent="0.15">
      <c r="A386">
        <f>ROW()</f>
        <v>386</v>
      </c>
      <c r="B386" s="27" t="s">
        <v>623</v>
      </c>
      <c r="C386" t="str">
        <f t="shared" ref="C386" si="97">LEFT(B386,FIND("〔",B386)-1)</f>
        <v xml:space="preserve">かきます </v>
      </c>
      <c r="E386" t="str">
        <f t="shared" ref="E386" si="98">RIGHT(B386,LEN(B386)-FIND("〔",B386)+1)</f>
        <v>〔动1〕 画</v>
      </c>
    </row>
    <row r="387" spans="1:5" x14ac:dyDescent="0.15">
      <c r="A387">
        <f>ROW()</f>
        <v>387</v>
      </c>
      <c r="B387" s="27" t="s">
        <v>624</v>
      </c>
      <c r="C387" t="str">
        <f t="shared" si="84"/>
        <v>かします</v>
      </c>
      <c r="D387" t="str">
        <f t="shared" si="85"/>
        <v>（貸します）</v>
      </c>
      <c r="E387" t="str">
        <f t="shared" si="86"/>
        <v xml:space="preserve"> 〔动1〕 借出，借给</v>
      </c>
    </row>
    <row r="388" spans="1:5" x14ac:dyDescent="0.15">
      <c r="A388">
        <f>ROW()</f>
        <v>388</v>
      </c>
      <c r="B388" s="27" t="s">
        <v>625</v>
      </c>
      <c r="C388" t="str">
        <f t="shared" si="84"/>
        <v>ならいます</v>
      </c>
      <c r="D388" t="str">
        <f t="shared" si="85"/>
        <v>（習います）</v>
      </c>
      <c r="E388" t="str">
        <f t="shared" si="86"/>
        <v xml:space="preserve"> 〔动1〕 学习</v>
      </c>
    </row>
    <row r="389" spans="1:5" x14ac:dyDescent="0.15">
      <c r="A389">
        <f>ROW()</f>
        <v>389</v>
      </c>
      <c r="B389" s="27" t="s">
        <v>626</v>
      </c>
      <c r="C389" t="str">
        <f t="shared" ref="C389" si="99">LEFT(B389,FIND("〔",B389)-1)</f>
        <v xml:space="preserve">あげます </v>
      </c>
      <c r="E389" t="str">
        <f t="shared" ref="E389" si="100">RIGHT(B389,LEN(B389)-FIND("〔",B389)+1)</f>
        <v>〔动2〕 给</v>
      </c>
    </row>
    <row r="390" spans="1:5" x14ac:dyDescent="0.15">
      <c r="A390">
        <f>ROW()</f>
        <v>390</v>
      </c>
      <c r="B390" s="27" t="s">
        <v>627</v>
      </c>
      <c r="C390" t="str">
        <f t="shared" si="84"/>
        <v>かけます 〔动2〕 打</v>
      </c>
      <c r="D390" t="str">
        <f t="shared" si="85"/>
        <v>（电话）</v>
      </c>
      <c r="E390" t="str">
        <f t="shared" si="86"/>
        <v/>
      </c>
    </row>
    <row r="391" spans="1:5" x14ac:dyDescent="0.15">
      <c r="A391">
        <f>ROW()</f>
        <v>391</v>
      </c>
      <c r="B391" s="27" t="s">
        <v>628</v>
      </c>
      <c r="C391" t="str">
        <f t="shared" si="84"/>
        <v>かります</v>
      </c>
      <c r="D391" t="str">
        <f t="shared" si="85"/>
        <v>（借ります）</v>
      </c>
      <c r="E391" t="str">
        <f t="shared" si="86"/>
        <v xml:space="preserve"> 〔动2〕 （向别人）借</v>
      </c>
    </row>
    <row r="392" spans="1:5" x14ac:dyDescent="0.15">
      <c r="A392">
        <f>ROW()</f>
        <v>392</v>
      </c>
      <c r="B392" s="27" t="s">
        <v>629</v>
      </c>
      <c r="C392" t="str">
        <f t="shared" si="84"/>
        <v>おしえます</v>
      </c>
      <c r="D392" t="str">
        <f t="shared" si="85"/>
        <v>（教えます）</v>
      </c>
      <c r="E392" t="str">
        <f t="shared" si="86"/>
        <v xml:space="preserve"> 〔动2〕 教</v>
      </c>
    </row>
    <row r="393" spans="1:5" x14ac:dyDescent="0.15">
      <c r="A393">
        <f>ROW()</f>
        <v>393</v>
      </c>
      <c r="B393" s="27" t="s">
        <v>630</v>
      </c>
      <c r="C393" t="str">
        <f t="shared" ref="C393:C394" si="101">LEFT(B393,FIND("〔",B393)-1)</f>
        <v xml:space="preserve">もう </v>
      </c>
      <c r="E393" t="str">
        <f t="shared" ref="E393:E394" si="102">RIGHT(B393,LEN(B393)-FIND("〔",B393)+1)</f>
        <v>〔副〕 已经</v>
      </c>
    </row>
    <row r="394" spans="1:5" x14ac:dyDescent="0.15">
      <c r="A394">
        <f>ROW()</f>
        <v>394</v>
      </c>
      <c r="B394" s="27" t="s">
        <v>631</v>
      </c>
      <c r="C394" t="str">
        <f t="shared" si="101"/>
        <v xml:space="preserve">さっき </v>
      </c>
      <c r="E394" t="str">
        <f t="shared" si="102"/>
        <v>〔副〕 刚才</v>
      </c>
    </row>
    <row r="395" spans="1:5" x14ac:dyDescent="0.15">
      <c r="A395">
        <f>ROW()</f>
        <v>395</v>
      </c>
      <c r="B395" s="27" t="s">
        <v>632</v>
      </c>
      <c r="C395" t="str">
        <f t="shared" si="84"/>
        <v>たったいま</v>
      </c>
      <c r="D395" t="str">
        <f t="shared" si="85"/>
        <v>（たった今）</v>
      </c>
      <c r="E395" t="str">
        <f t="shared" si="86"/>
        <v xml:space="preserve"> 〔副〕 刚刚</v>
      </c>
    </row>
    <row r="396" spans="1:5" x14ac:dyDescent="0.15">
      <c r="A396">
        <f>ROW()</f>
        <v>396</v>
      </c>
      <c r="B396" s="27" t="s">
        <v>633</v>
      </c>
      <c r="C396" t="str">
        <f t="shared" si="84"/>
        <v>もういちど</v>
      </c>
      <c r="D396" t="str">
        <f t="shared" si="85"/>
        <v>（もう一度）</v>
      </c>
      <c r="E396" t="str">
        <f t="shared" si="86"/>
        <v xml:space="preserve"> 〔副〕 再一次</v>
      </c>
    </row>
    <row r="397" spans="1:5" x14ac:dyDescent="0.15">
      <c r="A397">
        <f>ROW()</f>
        <v>397</v>
      </c>
      <c r="B397" s="27" t="s">
        <v>634</v>
      </c>
      <c r="C397" t="str">
        <f t="shared" si="84"/>
        <v>まえに</v>
      </c>
      <c r="D397" t="str">
        <f t="shared" si="85"/>
        <v>（前に）</v>
      </c>
      <c r="E397" t="str">
        <f t="shared" si="86"/>
        <v xml:space="preserve"> 〔副〕 以前</v>
      </c>
    </row>
    <row r="398" spans="1:5" x14ac:dyDescent="0.15">
      <c r="A398">
        <f>ROW()</f>
        <v>398</v>
      </c>
      <c r="B398" s="27" t="s">
        <v>635</v>
      </c>
      <c r="C398" t="str">
        <f t="shared" si="84"/>
        <v>ちん</v>
      </c>
      <c r="D398" t="str">
        <f t="shared" si="85"/>
        <v>（陳）</v>
      </c>
      <c r="E398" t="str">
        <f t="shared" si="86"/>
        <v xml:space="preserve"> 〔专〕 陈</v>
      </c>
    </row>
    <row r="399" spans="1:5" x14ac:dyDescent="0.15">
      <c r="A399">
        <f>ROW()</f>
        <v>399</v>
      </c>
      <c r="B399" s="27" t="s">
        <v>636</v>
      </c>
      <c r="C399" t="str">
        <f>LEFT(B399,FIND(" ",B399)-1)</f>
        <v>どうですか</v>
      </c>
      <c r="E399" t="str">
        <f>RIGHT(B399,LEN(B399)-FIND(" ",B399)+1)</f>
        <v xml:space="preserve"> 怎样，如何</v>
      </c>
    </row>
    <row r="400" spans="1:5" x14ac:dyDescent="0.15">
      <c r="A400">
        <f>ROW()</f>
        <v>400</v>
      </c>
      <c r="B400" s="27" t="s">
        <v>637</v>
      </c>
      <c r="C400" t="str">
        <f t="shared" si="84"/>
        <v>おねがいします</v>
      </c>
      <c r="D400" t="str">
        <f t="shared" si="85"/>
        <v>（お願いします）</v>
      </c>
      <c r="E400" t="str">
        <f t="shared" si="86"/>
        <v xml:space="preserve"> 拜托了</v>
      </c>
    </row>
    <row r="401" spans="1:5" x14ac:dyDescent="0.15">
      <c r="A401">
        <f>ROW()</f>
        <v>401</v>
      </c>
      <c r="B401" s="27" t="s">
        <v>638</v>
      </c>
      <c r="C401" t="str">
        <f t="shared" si="84"/>
        <v>わかりました</v>
      </c>
      <c r="D401" t="str">
        <f t="shared" si="85"/>
        <v>（分かりました）</v>
      </c>
      <c r="E401" t="str">
        <f t="shared" si="86"/>
        <v xml:space="preserve"> 明白了</v>
      </c>
    </row>
    <row r="402" spans="1:5" x14ac:dyDescent="0.15">
      <c r="A402">
        <f>ROW()</f>
        <v>402</v>
      </c>
      <c r="B402" s="27" t="s">
        <v>639</v>
      </c>
      <c r="C402" t="str">
        <f>LEFT(B402,FIND(" ",B402)-1)</f>
        <v>よかったです</v>
      </c>
      <c r="E402" t="str">
        <f>RIGHT(B402,LEN(B402)-FIND(" ",B402)+1)</f>
        <v xml:space="preserve"> 太好了</v>
      </c>
    </row>
    <row r="403" spans="1:5" x14ac:dyDescent="0.15">
      <c r="A403">
        <f>ROW()</f>
        <v>403</v>
      </c>
      <c r="B403" s="27" t="s">
        <v>640</v>
      </c>
      <c r="C403" t="str">
        <f t="shared" si="84"/>
        <v>りょうり</v>
      </c>
      <c r="D403" t="str">
        <f t="shared" si="85"/>
        <v>（料理）</v>
      </c>
      <c r="E403" t="str">
        <f t="shared" si="86"/>
        <v xml:space="preserve"> 〔名〕 菜肴，饭菜</v>
      </c>
    </row>
    <row r="404" spans="1:5" x14ac:dyDescent="0.15">
      <c r="A404">
        <f>ROW()</f>
        <v>404</v>
      </c>
      <c r="B404" s="27" t="s">
        <v>641</v>
      </c>
      <c r="C404" t="str">
        <f t="shared" si="84"/>
        <v>しせんりょうり</v>
      </c>
      <c r="D404" t="str">
        <f t="shared" si="85"/>
        <v>（四川料理）</v>
      </c>
      <c r="E404" t="str">
        <f t="shared" si="86"/>
        <v xml:space="preserve"> 〔名〕 四川菜</v>
      </c>
    </row>
    <row r="405" spans="1:5" x14ac:dyDescent="0.15">
      <c r="A405">
        <f>ROW()</f>
        <v>405</v>
      </c>
      <c r="B405" s="27" t="s">
        <v>642</v>
      </c>
      <c r="C405" t="str">
        <f t="shared" ref="C405" si="103">LEFT(B405,FIND("〔",B405)-1)</f>
        <v xml:space="preserve">スーブ </v>
      </c>
      <c r="E405" t="str">
        <f t="shared" ref="E405" si="104">RIGHT(B405,LEN(B405)-FIND("〔",B405)+1)</f>
        <v>〔名〕 汤</v>
      </c>
    </row>
    <row r="406" spans="1:5" x14ac:dyDescent="0.15">
      <c r="A406">
        <f>ROW()</f>
        <v>406</v>
      </c>
      <c r="B406" s="27" t="s">
        <v>643</v>
      </c>
      <c r="C406" t="str">
        <f t="shared" si="84"/>
        <v>ぺキンダック</v>
      </c>
      <c r="D406" t="str">
        <f t="shared" si="85"/>
        <v>（北京～）</v>
      </c>
      <c r="E406" t="str">
        <f t="shared" si="86"/>
        <v xml:space="preserve"> 〔名〕 北京烤鸭</v>
      </c>
    </row>
    <row r="407" spans="1:5" x14ac:dyDescent="0.15">
      <c r="A407">
        <f>ROW()</f>
        <v>407</v>
      </c>
      <c r="B407" s="27" t="s">
        <v>644</v>
      </c>
      <c r="C407" t="str">
        <f t="shared" si="84"/>
        <v>たべもの</v>
      </c>
      <c r="D407" t="str">
        <f t="shared" si="85"/>
        <v>（食べ物）</v>
      </c>
      <c r="E407" t="str">
        <f t="shared" si="86"/>
        <v xml:space="preserve"> 〔名〕 食物，食品</v>
      </c>
    </row>
    <row r="408" spans="1:5" x14ac:dyDescent="0.15">
      <c r="A408">
        <f>ROW()</f>
        <v>408</v>
      </c>
      <c r="B408" s="27" t="s">
        <v>645</v>
      </c>
      <c r="C408" t="str">
        <f t="shared" si="84"/>
        <v>すきやき</v>
      </c>
      <c r="D408" t="str">
        <f t="shared" si="85"/>
        <v>（すき焼き）</v>
      </c>
      <c r="E408" t="str">
        <f t="shared" si="86"/>
        <v xml:space="preserve"> 〔名〕 日式牛肉火锅</v>
      </c>
    </row>
    <row r="409" spans="1:5" x14ac:dyDescent="0.15">
      <c r="A409">
        <f>ROW()</f>
        <v>409</v>
      </c>
      <c r="B409" s="27" t="s">
        <v>646</v>
      </c>
      <c r="C409" t="str">
        <f t="shared" si="84"/>
        <v>おんせん</v>
      </c>
      <c r="D409" t="str">
        <f t="shared" si="85"/>
        <v>（温泉）</v>
      </c>
      <c r="E409" t="str">
        <f t="shared" si="86"/>
        <v xml:space="preserve"> 〔名〕 温泉</v>
      </c>
    </row>
    <row r="410" spans="1:5" x14ac:dyDescent="0.15">
      <c r="A410">
        <f>ROW()</f>
        <v>410</v>
      </c>
      <c r="B410" s="27" t="s">
        <v>647</v>
      </c>
      <c r="C410" t="str">
        <f t="shared" si="84"/>
        <v>おゆ</v>
      </c>
      <c r="D410" t="str">
        <f t="shared" si="85"/>
        <v>（お湯）</v>
      </c>
      <c r="E410" t="str">
        <f t="shared" si="86"/>
        <v xml:space="preserve"> 〔名〕 热水，开水</v>
      </c>
    </row>
    <row r="411" spans="1:5" x14ac:dyDescent="0.15">
      <c r="A411">
        <f>ROW()</f>
        <v>411</v>
      </c>
      <c r="B411" s="27" t="s">
        <v>648</v>
      </c>
      <c r="C411" t="str">
        <f t="shared" si="84"/>
        <v>みず</v>
      </c>
      <c r="D411" t="str">
        <f t="shared" si="85"/>
        <v>（水）</v>
      </c>
      <c r="E411" t="str">
        <f t="shared" si="86"/>
        <v xml:space="preserve"> 〔名〕 水，凉水</v>
      </c>
    </row>
    <row r="412" spans="1:5" x14ac:dyDescent="0.15">
      <c r="A412">
        <f>ROW()</f>
        <v>412</v>
      </c>
      <c r="B412" s="27" t="s">
        <v>649</v>
      </c>
      <c r="C412" t="str">
        <f t="shared" si="84"/>
        <v>ゆかた</v>
      </c>
      <c r="D412" t="str">
        <f t="shared" si="85"/>
        <v>（浴衣）</v>
      </c>
      <c r="E412" t="str">
        <f t="shared" si="86"/>
        <v xml:space="preserve"> 〔名〕 浴衣，夏季和服</v>
      </c>
    </row>
    <row r="413" spans="1:5" x14ac:dyDescent="0.15">
      <c r="A413">
        <f>ROW()</f>
        <v>413</v>
      </c>
      <c r="B413" s="27" t="s">
        <v>650</v>
      </c>
      <c r="C413" t="str">
        <f t="shared" si="84"/>
        <v>ながめ</v>
      </c>
      <c r="D413" t="str">
        <f t="shared" si="85"/>
        <v>（眺め）</v>
      </c>
      <c r="E413" t="str">
        <f t="shared" si="86"/>
        <v xml:space="preserve"> 〔名〕 景色，风景</v>
      </c>
    </row>
    <row r="414" spans="1:5" x14ac:dyDescent="0.15">
      <c r="A414">
        <f>ROW()</f>
        <v>414</v>
      </c>
      <c r="B414" s="27" t="s">
        <v>651</v>
      </c>
      <c r="C414" t="str">
        <f t="shared" si="84"/>
        <v>くすり</v>
      </c>
      <c r="D414" t="str">
        <f t="shared" si="85"/>
        <v>（薬）</v>
      </c>
      <c r="E414" t="str">
        <f t="shared" si="86"/>
        <v xml:space="preserve"> 〔名〕 药</v>
      </c>
    </row>
    <row r="415" spans="1:5" x14ac:dyDescent="0.15">
      <c r="A415">
        <f>ROW()</f>
        <v>415</v>
      </c>
      <c r="B415" s="27" t="s">
        <v>652</v>
      </c>
      <c r="C415" t="str">
        <f t="shared" ref="C415:C473" si="105">LEFT(B415,FIND("（",B415)-1)</f>
        <v>てんき</v>
      </c>
      <c r="D415" t="str">
        <f t="shared" ref="D415:D473" si="106">MID(B415,FIND("（",B415),FIND("）",B415)-FIND("（",B415)+1)</f>
        <v>（天気）</v>
      </c>
      <c r="E415" t="str">
        <f t="shared" ref="E415:E473" si="107">RIGHT(B415,LEN(B415)-FIND("）",B415))</f>
        <v xml:space="preserve"> 〔名〕 天气</v>
      </c>
    </row>
    <row r="416" spans="1:5" x14ac:dyDescent="0.15">
      <c r="A416">
        <f>ROW()</f>
        <v>416</v>
      </c>
      <c r="B416" s="27" t="s">
        <v>653</v>
      </c>
      <c r="C416" t="str">
        <f t="shared" si="105"/>
        <v>うみ</v>
      </c>
      <c r="D416" t="str">
        <f t="shared" si="106"/>
        <v>（海）</v>
      </c>
      <c r="E416" t="str">
        <f t="shared" si="107"/>
        <v xml:space="preserve"> 〔名〕 大海</v>
      </c>
    </row>
    <row r="417" spans="1:5" x14ac:dyDescent="0.15">
      <c r="A417">
        <f>ROW()</f>
        <v>417</v>
      </c>
      <c r="B417" s="27" t="s">
        <v>654</v>
      </c>
      <c r="C417" t="str">
        <f t="shared" si="105"/>
        <v>やま</v>
      </c>
      <c r="D417" t="str">
        <f t="shared" si="106"/>
        <v>（山）</v>
      </c>
      <c r="E417" t="str">
        <f t="shared" si="107"/>
        <v xml:space="preserve"> 〔名〕 山</v>
      </c>
    </row>
    <row r="418" spans="1:5" x14ac:dyDescent="0.15">
      <c r="A418">
        <f>ROW()</f>
        <v>418</v>
      </c>
      <c r="B418" s="27" t="s">
        <v>655</v>
      </c>
      <c r="C418" t="str">
        <f t="shared" si="105"/>
        <v>かみ</v>
      </c>
      <c r="D418" t="str">
        <f t="shared" si="106"/>
        <v>（紙）</v>
      </c>
      <c r="E418" t="str">
        <f t="shared" si="107"/>
        <v xml:space="preserve"> 〔名〕 纸</v>
      </c>
    </row>
    <row r="419" spans="1:5" x14ac:dyDescent="0.15">
      <c r="A419">
        <f>ROW()</f>
        <v>419</v>
      </c>
      <c r="B419" s="27" t="s">
        <v>656</v>
      </c>
      <c r="C419" t="str">
        <f t="shared" ref="C419" si="108">LEFT(B419,FIND("〔",B419)-1)</f>
        <v xml:space="preserve">ニュース </v>
      </c>
      <c r="E419" t="str">
        <f t="shared" ref="E419" si="109">RIGHT(B419,LEN(B419)-FIND("〔",B419)+1)</f>
        <v>〔名〕 新闻</v>
      </c>
    </row>
    <row r="420" spans="1:5" x14ac:dyDescent="0.15">
      <c r="A420">
        <f>ROW()</f>
        <v>420</v>
      </c>
      <c r="B420" s="27" t="s">
        <v>657</v>
      </c>
      <c r="C420" t="str">
        <f t="shared" si="105"/>
        <v>じょせい</v>
      </c>
      <c r="D420" t="str">
        <f t="shared" si="106"/>
        <v>（女性）</v>
      </c>
      <c r="E420" t="str">
        <f t="shared" si="107"/>
        <v xml:space="preserve"> 〔名〕 女性</v>
      </c>
    </row>
    <row r="421" spans="1:5" x14ac:dyDescent="0.15">
      <c r="A421">
        <f>ROW()</f>
        <v>421</v>
      </c>
      <c r="B421" s="27" t="s">
        <v>658</v>
      </c>
      <c r="C421" t="str">
        <f t="shared" si="105"/>
        <v>おきゃくさま</v>
      </c>
      <c r="D421" t="str">
        <f t="shared" si="106"/>
        <v>（お客様）</v>
      </c>
      <c r="E421" t="str">
        <f t="shared" si="107"/>
        <v xml:space="preserve"> 〔名〕 来宾</v>
      </c>
    </row>
    <row r="422" spans="1:5" x14ac:dyDescent="0.15">
      <c r="A422">
        <f>ROW()</f>
        <v>422</v>
      </c>
      <c r="B422" s="27" t="s">
        <v>659</v>
      </c>
      <c r="C422" t="str">
        <f t="shared" ref="C422" si="110">LEFT(B422,FIND("〔",B422)-1)</f>
        <v xml:space="preserve">グラス </v>
      </c>
      <c r="E422" t="str">
        <f t="shared" ref="E422" si="111">RIGHT(B422,LEN(B422)-FIND("〔",B422)+1)</f>
        <v>〔名〕 玻璃杯</v>
      </c>
    </row>
    <row r="423" spans="1:5" x14ac:dyDescent="0.15">
      <c r="A423">
        <f>ROW()</f>
        <v>423</v>
      </c>
      <c r="B423" s="27" t="s">
        <v>660</v>
      </c>
      <c r="C423" t="str">
        <f t="shared" si="105"/>
        <v>かぶき</v>
      </c>
      <c r="D423" t="str">
        <f t="shared" si="106"/>
        <v>（歌舞伎）</v>
      </c>
      <c r="E423" t="str">
        <f t="shared" si="107"/>
        <v xml:space="preserve"> 〔名〕 歌舞伎</v>
      </c>
    </row>
    <row r="424" spans="1:5" x14ac:dyDescent="0.15">
      <c r="A424">
        <f>ROW()</f>
        <v>424</v>
      </c>
      <c r="B424" s="27" t="s">
        <v>661</v>
      </c>
      <c r="C424" t="str">
        <f t="shared" si="105"/>
        <v>きもち</v>
      </c>
      <c r="D424" t="str">
        <f t="shared" si="106"/>
        <v>（気持ち）</v>
      </c>
      <c r="E424" t="str">
        <f t="shared" si="107"/>
        <v xml:space="preserve"> 〔名〕 心情</v>
      </c>
    </row>
    <row r="425" spans="1:5" x14ac:dyDescent="0.15">
      <c r="A425">
        <f>ROW()</f>
        <v>425</v>
      </c>
      <c r="B425" s="27" t="s">
        <v>662</v>
      </c>
      <c r="C425" t="str">
        <f t="shared" ref="C425" si="112">LEFT(B425,FIND("〔",B425)-1)</f>
        <v xml:space="preserve">たくさん </v>
      </c>
      <c r="E425" t="str">
        <f t="shared" ref="E425" si="113">RIGHT(B425,LEN(B425)-FIND("〔",B425)+1)</f>
        <v>〔名〕 很多</v>
      </c>
    </row>
    <row r="426" spans="1:5" x14ac:dyDescent="0.15">
      <c r="A426">
        <f>ROW()</f>
        <v>426</v>
      </c>
      <c r="B426" s="27" t="s">
        <v>663</v>
      </c>
      <c r="C426" t="str">
        <f t="shared" si="105"/>
        <v>からい</v>
      </c>
      <c r="D426" t="str">
        <f t="shared" si="106"/>
        <v>（辛い）</v>
      </c>
      <c r="E426" t="str">
        <f t="shared" si="107"/>
        <v xml:space="preserve"> 〔形1〕 辣</v>
      </c>
    </row>
    <row r="427" spans="1:5" x14ac:dyDescent="0.15">
      <c r="A427">
        <f>ROW()</f>
        <v>427</v>
      </c>
      <c r="B427" s="27" t="s">
        <v>664</v>
      </c>
      <c r="C427" t="str">
        <f t="shared" si="105"/>
        <v>あまい</v>
      </c>
      <c r="D427" t="str">
        <f t="shared" si="106"/>
        <v>（甘い）</v>
      </c>
      <c r="E427" t="str">
        <f t="shared" si="107"/>
        <v xml:space="preserve"> 〔形1〕 甜</v>
      </c>
    </row>
    <row r="428" spans="1:5" x14ac:dyDescent="0.15">
      <c r="A428">
        <f>ROW()</f>
        <v>428</v>
      </c>
      <c r="B428" s="27" t="s">
        <v>665</v>
      </c>
      <c r="C428" t="str">
        <f t="shared" si="105"/>
        <v>しおからい</v>
      </c>
      <c r="D428" t="str">
        <f t="shared" si="106"/>
        <v>（塩辛い）</v>
      </c>
      <c r="E428" t="str">
        <f t="shared" si="107"/>
        <v>∕しょっぱい 〔形1〕 咸</v>
      </c>
    </row>
    <row r="429" spans="1:5" x14ac:dyDescent="0.15">
      <c r="A429">
        <f>ROW()</f>
        <v>429</v>
      </c>
      <c r="B429" s="27" t="s">
        <v>666</v>
      </c>
      <c r="C429" t="str">
        <f t="shared" si="105"/>
        <v>すっぱい</v>
      </c>
      <c r="D429" t="str">
        <f t="shared" si="106"/>
        <v>（酸っぱい）</v>
      </c>
      <c r="E429" t="str">
        <f t="shared" si="107"/>
        <v xml:space="preserve"> 〔形1〕 酸</v>
      </c>
    </row>
    <row r="430" spans="1:5" x14ac:dyDescent="0.15">
      <c r="A430">
        <f>ROW()</f>
        <v>430</v>
      </c>
      <c r="B430" s="27" t="s">
        <v>667</v>
      </c>
      <c r="C430" t="str">
        <f t="shared" si="105"/>
        <v>にがい</v>
      </c>
      <c r="D430" t="str">
        <f t="shared" si="106"/>
        <v>（苦い）</v>
      </c>
      <c r="E430" t="str">
        <f t="shared" si="107"/>
        <v xml:space="preserve"> 〔形1〕 苦</v>
      </c>
    </row>
    <row r="431" spans="1:5" x14ac:dyDescent="0.15">
      <c r="A431">
        <f>ROW()</f>
        <v>431</v>
      </c>
      <c r="B431" s="27" t="s">
        <v>668</v>
      </c>
      <c r="C431" t="str">
        <f t="shared" ref="C431:C433" si="114">LEFT(B431,FIND("〔",B431)-1)</f>
        <v xml:space="preserve">おいしい </v>
      </c>
      <c r="E431" t="str">
        <f t="shared" ref="E431:E433" si="115">RIGHT(B431,LEN(B431)-FIND("〔",B431)+1)</f>
        <v>〔形1〕 好吃，可口</v>
      </c>
    </row>
    <row r="432" spans="1:5" x14ac:dyDescent="0.15">
      <c r="A432">
        <f>ROW()</f>
        <v>432</v>
      </c>
      <c r="B432" s="27" t="s">
        <v>669</v>
      </c>
      <c r="C432" t="str">
        <f t="shared" si="114"/>
        <v xml:space="preserve">まずい </v>
      </c>
      <c r="E432" t="str">
        <f t="shared" si="115"/>
        <v>〔形1〕 不好吃，难吃</v>
      </c>
    </row>
    <row r="433" spans="1:5" x14ac:dyDescent="0.15">
      <c r="A433">
        <f>ROW()</f>
        <v>433</v>
      </c>
      <c r="B433" s="27" t="s">
        <v>670</v>
      </c>
      <c r="C433" t="str">
        <f t="shared" si="114"/>
        <v xml:space="preserve">あつい </v>
      </c>
      <c r="E433" t="str">
        <f t="shared" si="115"/>
        <v>〔形1〕 热，烫</v>
      </c>
    </row>
    <row r="434" spans="1:5" x14ac:dyDescent="0.15">
      <c r="A434">
        <f>ROW()</f>
        <v>434</v>
      </c>
      <c r="B434" s="27" t="s">
        <v>671</v>
      </c>
      <c r="C434" t="str">
        <f t="shared" si="105"/>
        <v>つめたい</v>
      </c>
      <c r="D434" t="str">
        <f t="shared" si="106"/>
        <v>（冷たい）</v>
      </c>
      <c r="E434" t="str">
        <f t="shared" si="107"/>
        <v xml:space="preserve"> 〔形1〕 凉</v>
      </c>
    </row>
    <row r="435" spans="1:5" x14ac:dyDescent="0.15">
      <c r="A435">
        <f>ROW()</f>
        <v>435</v>
      </c>
      <c r="B435" s="27" t="s">
        <v>672</v>
      </c>
      <c r="C435" t="str">
        <f t="shared" si="105"/>
        <v>たのしい</v>
      </c>
      <c r="D435" t="str">
        <f t="shared" si="106"/>
        <v>（楽しい）</v>
      </c>
      <c r="E435" t="str">
        <f t="shared" si="107"/>
        <v xml:space="preserve"> 〔形1〕 愉快，快乐</v>
      </c>
    </row>
    <row r="436" spans="1:5" x14ac:dyDescent="0.15">
      <c r="A436">
        <f>ROW()</f>
        <v>436</v>
      </c>
      <c r="B436" s="27" t="s">
        <v>673</v>
      </c>
      <c r="C436" t="str">
        <f t="shared" ref="C436:C437" si="116">LEFT(B436,FIND("〔",B436)-1)</f>
        <v xml:space="preserve">おもしろい </v>
      </c>
      <c r="E436" t="str">
        <f t="shared" ref="E436:E437" si="117">RIGHT(B436,LEN(B436)-FIND("〔",B436)+1)</f>
        <v>〔形1〕 有趣，有意思</v>
      </c>
    </row>
    <row r="437" spans="1:5" x14ac:dyDescent="0.15">
      <c r="A437">
        <f>ROW()</f>
        <v>437</v>
      </c>
      <c r="B437" s="27" t="s">
        <v>674</v>
      </c>
      <c r="C437" t="str">
        <f t="shared" si="116"/>
        <v xml:space="preserve">つまらない </v>
      </c>
      <c r="E437" t="str">
        <f t="shared" si="117"/>
        <v>〔形1〕 无聊</v>
      </c>
    </row>
    <row r="438" spans="1:5" x14ac:dyDescent="0.15">
      <c r="A438">
        <f>ROW()</f>
        <v>438</v>
      </c>
      <c r="B438" s="27" t="s">
        <v>675</v>
      </c>
      <c r="C438" t="str">
        <f t="shared" si="105"/>
        <v>ひろい</v>
      </c>
      <c r="D438" t="str">
        <f t="shared" si="106"/>
        <v>（広い）</v>
      </c>
      <c r="E438" t="str">
        <f t="shared" si="107"/>
        <v xml:space="preserve"> 〔形1〕 广阔，宽敞</v>
      </c>
    </row>
    <row r="439" spans="1:5" x14ac:dyDescent="0.15">
      <c r="A439">
        <f>ROW()</f>
        <v>439</v>
      </c>
      <c r="B439" s="27" t="s">
        <v>676</v>
      </c>
      <c r="C439" t="str">
        <f t="shared" si="105"/>
        <v>せまい</v>
      </c>
      <c r="D439" t="str">
        <f t="shared" si="106"/>
        <v>（狭い）</v>
      </c>
      <c r="E439" t="str">
        <f t="shared" si="107"/>
        <v xml:space="preserve"> 〔形1〕 狭窄</v>
      </c>
    </row>
    <row r="440" spans="1:5" x14ac:dyDescent="0.15">
      <c r="A440">
        <f>ROW()</f>
        <v>440</v>
      </c>
      <c r="B440" s="27" t="s">
        <v>677</v>
      </c>
      <c r="C440" t="str">
        <f t="shared" si="105"/>
        <v>おおきい</v>
      </c>
      <c r="D440" t="str">
        <f t="shared" si="106"/>
        <v>（大きい）</v>
      </c>
      <c r="E440" t="str">
        <f t="shared" si="107"/>
        <v xml:space="preserve"> 〔形1〕 大</v>
      </c>
    </row>
    <row r="441" spans="1:5" x14ac:dyDescent="0.15">
      <c r="A441">
        <f>ROW()</f>
        <v>441</v>
      </c>
      <c r="B441" s="27" t="s">
        <v>678</v>
      </c>
      <c r="C441" t="str">
        <f t="shared" si="105"/>
        <v>ちいさい</v>
      </c>
      <c r="D441" t="str">
        <f t="shared" si="106"/>
        <v>（小さい）</v>
      </c>
      <c r="E441" t="str">
        <f t="shared" si="107"/>
        <v xml:space="preserve"> 〔形1〕 小</v>
      </c>
    </row>
    <row r="442" spans="1:5" x14ac:dyDescent="0.15">
      <c r="A442">
        <f>ROW()</f>
        <v>442</v>
      </c>
      <c r="B442" s="27" t="s">
        <v>679</v>
      </c>
      <c r="C442" t="str">
        <f t="shared" si="105"/>
        <v>いそがしい</v>
      </c>
      <c r="D442" t="str">
        <f t="shared" si="106"/>
        <v>（忙しい）</v>
      </c>
      <c r="E442" t="str">
        <f t="shared" si="107"/>
        <v xml:space="preserve"> 〔形1〕 忙，忙碌</v>
      </c>
    </row>
    <row r="443" spans="1:5" x14ac:dyDescent="0.15">
      <c r="A443">
        <f>ROW()</f>
        <v>443</v>
      </c>
      <c r="B443" s="27" t="s">
        <v>680</v>
      </c>
      <c r="C443" t="str">
        <f t="shared" ref="C443" si="118">LEFT(B443,FIND("〔",B443)-1)</f>
        <v xml:space="preserve">いい </v>
      </c>
      <c r="E443" t="str">
        <f t="shared" ref="E443" si="119">RIGHT(B443,LEN(B443)-FIND("〔",B443)+1)</f>
        <v>〔形1〕 好</v>
      </c>
    </row>
    <row r="444" spans="1:5" x14ac:dyDescent="0.15">
      <c r="A444">
        <f>ROW()</f>
        <v>444</v>
      </c>
      <c r="B444" s="27" t="s">
        <v>681</v>
      </c>
      <c r="C444" t="str">
        <f t="shared" si="105"/>
        <v>わるい</v>
      </c>
      <c r="D444" t="str">
        <f t="shared" si="106"/>
        <v>（悪い）</v>
      </c>
      <c r="E444" t="str">
        <f t="shared" si="107"/>
        <v xml:space="preserve"> 〔形1〕 不好，坏</v>
      </c>
    </row>
    <row r="445" spans="1:5" x14ac:dyDescent="0.15">
      <c r="A445">
        <f>ROW()</f>
        <v>445</v>
      </c>
      <c r="B445" s="27" t="s">
        <v>682</v>
      </c>
      <c r="C445" t="str">
        <f t="shared" ref="C445" si="120">LEFT(B445,FIND("〔",B445)-1)</f>
        <v xml:space="preserve">すばらしい </v>
      </c>
      <c r="E445" t="str">
        <f t="shared" ref="E445" si="121">RIGHT(B445,LEN(B445)-FIND("〔",B445)+1)</f>
        <v>〔形1〕 极好，绝佳</v>
      </c>
    </row>
    <row r="446" spans="1:5" x14ac:dyDescent="0.15">
      <c r="A446">
        <f>ROW()</f>
        <v>446</v>
      </c>
      <c r="B446" s="27" t="s">
        <v>683</v>
      </c>
      <c r="C446" t="str">
        <f t="shared" si="105"/>
        <v>とおい</v>
      </c>
      <c r="D446" t="str">
        <f t="shared" si="106"/>
        <v>（遠い）</v>
      </c>
      <c r="E446" t="str">
        <f t="shared" si="107"/>
        <v xml:space="preserve"> 〔形1〕 远</v>
      </c>
    </row>
    <row r="447" spans="1:5" x14ac:dyDescent="0.15">
      <c r="A447">
        <f>ROW()</f>
        <v>447</v>
      </c>
      <c r="B447" s="27" t="s">
        <v>684</v>
      </c>
      <c r="C447" t="str">
        <f t="shared" si="105"/>
        <v>ちかい</v>
      </c>
      <c r="D447" t="str">
        <f t="shared" si="106"/>
        <v>（近い）</v>
      </c>
      <c r="E447" t="str">
        <f t="shared" si="107"/>
        <v xml:space="preserve"> 〔形1〕 近</v>
      </c>
    </row>
    <row r="448" spans="1:5" x14ac:dyDescent="0.15">
      <c r="A448">
        <f>ROW()</f>
        <v>448</v>
      </c>
      <c r="B448" s="27" t="s">
        <v>685</v>
      </c>
      <c r="C448" t="str">
        <f t="shared" si="105"/>
        <v>たかい</v>
      </c>
      <c r="D448" t="str">
        <f t="shared" si="106"/>
        <v>（高い）</v>
      </c>
      <c r="E448" t="str">
        <f t="shared" si="107"/>
        <v xml:space="preserve"> 〔形1〕 高，贵</v>
      </c>
    </row>
    <row r="449" spans="1:5" x14ac:dyDescent="0.15">
      <c r="A449">
        <f>ROW()</f>
        <v>449</v>
      </c>
      <c r="B449" s="27" t="s">
        <v>686</v>
      </c>
      <c r="C449" t="str">
        <f t="shared" si="105"/>
        <v>ひくい</v>
      </c>
      <c r="D449" t="str">
        <f t="shared" si="106"/>
        <v>（低い）</v>
      </c>
      <c r="E449" t="str">
        <f t="shared" si="107"/>
        <v xml:space="preserve"> 〔形1〕 低</v>
      </c>
    </row>
    <row r="450" spans="1:5" x14ac:dyDescent="0.15">
      <c r="A450">
        <f>ROW()</f>
        <v>450</v>
      </c>
      <c r="B450" s="27" t="s">
        <v>687</v>
      </c>
      <c r="C450" t="str">
        <f t="shared" si="105"/>
        <v>やすい</v>
      </c>
      <c r="D450" t="str">
        <f t="shared" si="106"/>
        <v>（安い）</v>
      </c>
      <c r="E450" t="str">
        <f t="shared" si="107"/>
        <v xml:space="preserve"> 〔形1〕 便宜</v>
      </c>
    </row>
    <row r="451" spans="1:5" x14ac:dyDescent="0.15">
      <c r="A451">
        <f>ROW()</f>
        <v>451</v>
      </c>
      <c r="B451" s="27" t="s">
        <v>688</v>
      </c>
      <c r="C451" t="str">
        <f t="shared" si="105"/>
        <v>さむい</v>
      </c>
      <c r="D451" t="str">
        <f t="shared" si="106"/>
        <v>（寒い）</v>
      </c>
      <c r="E451" t="str">
        <f t="shared" si="107"/>
        <v xml:space="preserve"> 〔形1〕 寒冷</v>
      </c>
    </row>
    <row r="452" spans="1:5" x14ac:dyDescent="0.15">
      <c r="A452">
        <f>ROW()</f>
        <v>452</v>
      </c>
      <c r="B452" s="27" t="s">
        <v>689</v>
      </c>
      <c r="C452" t="str">
        <f t="shared" si="105"/>
        <v>あつい</v>
      </c>
      <c r="D452" t="str">
        <f t="shared" si="106"/>
        <v>（暑い）</v>
      </c>
      <c r="E452" t="str">
        <f t="shared" si="107"/>
        <v xml:space="preserve"> 〔形1〕 （天气）热</v>
      </c>
    </row>
    <row r="453" spans="1:5" x14ac:dyDescent="0.15">
      <c r="A453">
        <f>ROW()</f>
        <v>453</v>
      </c>
      <c r="B453" s="27" t="s">
        <v>690</v>
      </c>
      <c r="C453" t="str">
        <f t="shared" si="105"/>
        <v>あおい</v>
      </c>
      <c r="D453" t="str">
        <f t="shared" si="106"/>
        <v>（青い）</v>
      </c>
      <c r="E453" t="str">
        <f t="shared" si="107"/>
        <v xml:space="preserve"> 〔形1〕 蓝色的</v>
      </c>
    </row>
    <row r="454" spans="1:5" x14ac:dyDescent="0.15">
      <c r="A454">
        <f>ROW()</f>
        <v>454</v>
      </c>
      <c r="B454" s="27" t="s">
        <v>691</v>
      </c>
      <c r="C454" t="str">
        <f t="shared" si="105"/>
        <v>しろい</v>
      </c>
      <c r="D454" t="str">
        <f t="shared" si="106"/>
        <v>（白い）</v>
      </c>
      <c r="E454" t="str">
        <f t="shared" si="107"/>
        <v xml:space="preserve"> 〔形1〕 白色的</v>
      </c>
    </row>
    <row r="455" spans="1:5" x14ac:dyDescent="0.15">
      <c r="A455">
        <f>ROW()</f>
        <v>455</v>
      </c>
      <c r="B455" s="27" t="s">
        <v>692</v>
      </c>
      <c r="C455" t="str">
        <f t="shared" si="105"/>
        <v>あたらしい</v>
      </c>
      <c r="D455" t="str">
        <f t="shared" si="106"/>
        <v>（新しい）</v>
      </c>
      <c r="E455" t="str">
        <f t="shared" si="107"/>
        <v xml:space="preserve"> 〔形1〕 新</v>
      </c>
    </row>
    <row r="456" spans="1:5" x14ac:dyDescent="0.15">
      <c r="A456">
        <f>ROW()</f>
        <v>456</v>
      </c>
      <c r="B456" s="27" t="s">
        <v>693</v>
      </c>
      <c r="C456" t="str">
        <f t="shared" si="105"/>
        <v>ふるい</v>
      </c>
      <c r="D456" t="str">
        <f t="shared" si="106"/>
        <v>（古い）</v>
      </c>
      <c r="E456" t="str">
        <f t="shared" si="107"/>
        <v xml:space="preserve"> 〔形1〕 旧</v>
      </c>
    </row>
    <row r="457" spans="1:5" x14ac:dyDescent="0.15">
      <c r="A457">
        <f>ROW()</f>
        <v>457</v>
      </c>
      <c r="B457" s="27" t="s">
        <v>694</v>
      </c>
      <c r="C457" t="str">
        <f t="shared" si="105"/>
        <v>むずかしい</v>
      </c>
      <c r="D457" t="str">
        <f t="shared" si="106"/>
        <v>（難しい）</v>
      </c>
      <c r="E457" t="str">
        <f t="shared" si="107"/>
        <v xml:space="preserve"> 〔形1〕 难</v>
      </c>
    </row>
    <row r="458" spans="1:5" x14ac:dyDescent="0.15">
      <c r="A458">
        <f>ROW()</f>
        <v>458</v>
      </c>
      <c r="B458" s="27" t="s">
        <v>695</v>
      </c>
      <c r="C458" t="str">
        <f t="shared" si="105"/>
        <v>やさしい</v>
      </c>
      <c r="D458" t="str">
        <f t="shared" si="106"/>
        <v>（易しい）</v>
      </c>
      <c r="E458" t="str">
        <f t="shared" si="107"/>
        <v xml:space="preserve"> 〔形1〕 容易</v>
      </c>
    </row>
    <row r="459" spans="1:5" x14ac:dyDescent="0.15">
      <c r="A459">
        <f>ROW()</f>
        <v>459</v>
      </c>
      <c r="B459" s="27" t="s">
        <v>696</v>
      </c>
      <c r="C459" t="str">
        <f t="shared" si="105"/>
        <v>おおい</v>
      </c>
      <c r="D459" t="str">
        <f t="shared" si="106"/>
        <v>（多い）</v>
      </c>
      <c r="E459" t="str">
        <f t="shared" si="107"/>
        <v xml:space="preserve"> 〔形1〕 多</v>
      </c>
    </row>
    <row r="460" spans="1:5" x14ac:dyDescent="0.15">
      <c r="A460">
        <f>ROW()</f>
        <v>460</v>
      </c>
      <c r="B460" s="27" t="s">
        <v>697</v>
      </c>
      <c r="C460" t="str">
        <f t="shared" si="105"/>
        <v>すくない</v>
      </c>
      <c r="D460" t="str">
        <f t="shared" si="106"/>
        <v>（少ない）</v>
      </c>
      <c r="E460" t="str">
        <f t="shared" si="107"/>
        <v xml:space="preserve"> 〔形1〕 少</v>
      </c>
    </row>
    <row r="461" spans="1:5" x14ac:dyDescent="0.15">
      <c r="A461">
        <f>ROW()</f>
        <v>461</v>
      </c>
      <c r="B461" s="27" t="s">
        <v>698</v>
      </c>
      <c r="C461" t="str">
        <f t="shared" ref="C461" si="122">LEFT(B461,FIND("〔",B461)-1)</f>
        <v xml:space="preserve">かわいい </v>
      </c>
      <c r="E461" t="str">
        <f t="shared" ref="E461" si="123">RIGHT(B461,LEN(B461)-FIND("〔",B461)+1)</f>
        <v>〔形1〕 可爱</v>
      </c>
    </row>
    <row r="462" spans="1:5" x14ac:dyDescent="0.15">
      <c r="A462">
        <f>ROW()</f>
        <v>462</v>
      </c>
      <c r="B462" s="27" t="s">
        <v>699</v>
      </c>
      <c r="C462" t="str">
        <f t="shared" si="105"/>
        <v>ほんとうに</v>
      </c>
      <c r="D462" t="str">
        <f t="shared" si="106"/>
        <v>（本当に）</v>
      </c>
      <c r="E462" t="str">
        <f t="shared" si="107"/>
        <v xml:space="preserve"> 〔副〕 真的，实在是</v>
      </c>
    </row>
    <row r="463" spans="1:5" x14ac:dyDescent="0.15">
      <c r="A463">
        <f>ROW()</f>
        <v>463</v>
      </c>
      <c r="B463" s="27" t="s">
        <v>700</v>
      </c>
      <c r="C463" t="str">
        <f>LEFT(B463,FIND(" ",B463)-1)</f>
        <v>あまり</v>
      </c>
      <c r="E463" t="str">
        <f>RIGHT(B463,LEN(B463)-FIND(" ",B463))</f>
        <v>〔副〕 不（太）～，不很～</v>
      </c>
    </row>
    <row r="464" spans="1:5" x14ac:dyDescent="0.15">
      <c r="A464">
        <f>ROW()</f>
        <v>464</v>
      </c>
      <c r="B464" s="27" t="s">
        <v>701</v>
      </c>
      <c r="C464" t="str">
        <f t="shared" ref="C464" si="124">LEFT(B464,FIND("〔",B464)-1)</f>
        <v xml:space="preserve">とても∕たいへん </v>
      </c>
      <c r="E464" t="str">
        <f t="shared" ref="E464" si="125">RIGHT(B464,LEN(B464)-FIND("〔",B464)+1)</f>
        <v>〔副〕 很，非常</v>
      </c>
    </row>
    <row r="465" spans="1:5" x14ac:dyDescent="0.15">
      <c r="A465">
        <f>ROW()</f>
        <v>465</v>
      </c>
      <c r="B465" s="27" t="s">
        <v>702</v>
      </c>
      <c r="C465" t="str">
        <f t="shared" si="105"/>
        <v>すこし</v>
      </c>
      <c r="D465" t="str">
        <f t="shared" si="106"/>
        <v>（少し）</v>
      </c>
      <c r="E465" t="str">
        <f t="shared" si="107"/>
        <v>∕ちょっと 〔副〕 一点儿</v>
      </c>
    </row>
    <row r="466" spans="1:5" x14ac:dyDescent="0.15">
      <c r="A466">
        <f>ROW()</f>
        <v>466</v>
      </c>
      <c r="B466" s="27" t="s">
        <v>703</v>
      </c>
      <c r="C466" t="str">
        <f t="shared" si="105"/>
        <v>ぜんぜん</v>
      </c>
      <c r="D466" t="str">
        <f t="shared" si="106"/>
        <v>（全然）</v>
      </c>
      <c r="E466" t="str">
        <f t="shared" si="107"/>
        <v xml:space="preserve"> 〔副〕 根本（不），全然（不）</v>
      </c>
    </row>
    <row r="467" spans="1:5" x14ac:dyDescent="0.15">
      <c r="A467">
        <f>ROW()</f>
        <v>467</v>
      </c>
      <c r="B467" s="27" t="s">
        <v>704</v>
      </c>
      <c r="C467" t="str">
        <f t="shared" ref="C467:C469" si="126">LEFT(B467,FIND("〔",B467)-1)</f>
        <v xml:space="preserve">ちょうど  </v>
      </c>
      <c r="E467" t="str">
        <f t="shared" ref="E467:E469" si="127">RIGHT(B467,LEN(B467)-FIND("〔",B467)+1)</f>
        <v>〔副〕 正好，恰好</v>
      </c>
    </row>
    <row r="468" spans="1:5" x14ac:dyDescent="0.15">
      <c r="A468">
        <f>ROW()</f>
        <v>468</v>
      </c>
      <c r="B468" s="27" t="s">
        <v>705</v>
      </c>
      <c r="C468" t="str">
        <f t="shared" si="126"/>
        <v xml:space="preserve">あら∕あれ </v>
      </c>
      <c r="E468" t="str">
        <f t="shared" si="127"/>
        <v>〔叹〕 哎呀，咦</v>
      </c>
    </row>
    <row r="469" spans="1:5" x14ac:dyDescent="0.15">
      <c r="A469">
        <f>ROW()</f>
        <v>469</v>
      </c>
      <c r="B469" s="27" t="s">
        <v>706</v>
      </c>
      <c r="C469" t="str">
        <f t="shared" si="126"/>
        <v xml:space="preserve">ああ </v>
      </c>
      <c r="E469" t="str">
        <f t="shared" si="127"/>
        <v>〔叹〕 啊</v>
      </c>
    </row>
    <row r="470" spans="1:5" x14ac:dyDescent="0.15">
      <c r="A470">
        <f>ROW()</f>
        <v>470</v>
      </c>
      <c r="B470" s="27" t="s">
        <v>707</v>
      </c>
      <c r="C470" t="str">
        <f t="shared" si="105"/>
        <v>てんあんもん</v>
      </c>
      <c r="D470" t="str">
        <f t="shared" si="106"/>
        <v>（天安門）</v>
      </c>
      <c r="E470" t="str">
        <f t="shared" si="107"/>
        <v xml:space="preserve"> 〔专〕 天安门</v>
      </c>
    </row>
    <row r="471" spans="1:5" x14ac:dyDescent="0.15">
      <c r="A471">
        <f>ROW()</f>
        <v>471</v>
      </c>
      <c r="B471" s="27" t="s">
        <v>1287</v>
      </c>
      <c r="C471" t="str">
        <f t="shared" si="105"/>
        <v>ばんりのちょうじょう</v>
      </c>
      <c r="D471" t="str">
        <f t="shared" si="106"/>
        <v>（万里の長城）</v>
      </c>
      <c r="E471" t="str">
        <f t="shared" si="107"/>
        <v>〔专〕 万里长城</v>
      </c>
    </row>
    <row r="472" spans="1:5" x14ac:dyDescent="0.15">
      <c r="A472">
        <f>ROW()</f>
        <v>472</v>
      </c>
      <c r="B472" s="27" t="s">
        <v>708</v>
      </c>
      <c r="C472" t="str">
        <f t="shared" si="105"/>
        <v>きもちがいい</v>
      </c>
      <c r="D472" t="str">
        <f t="shared" si="106"/>
        <v>（気持ちがいい）</v>
      </c>
      <c r="E472" t="str">
        <f t="shared" si="107"/>
        <v xml:space="preserve"> 感觉舒服，心情愉快</v>
      </c>
    </row>
    <row r="473" spans="1:5" x14ac:dyDescent="0.15">
      <c r="A473">
        <f>ROW()</f>
        <v>473</v>
      </c>
      <c r="B473" s="27" t="s">
        <v>709</v>
      </c>
      <c r="C473" t="str">
        <f t="shared" si="105"/>
        <v>もみじ</v>
      </c>
      <c r="D473" t="str">
        <f t="shared" si="106"/>
        <v>（紅葉）</v>
      </c>
      <c r="E473" t="str">
        <f t="shared" si="107"/>
        <v xml:space="preserve"> 〔名〕 红叶</v>
      </c>
    </row>
    <row r="474" spans="1:5" x14ac:dyDescent="0.15">
      <c r="A474">
        <f>ROW()</f>
        <v>474</v>
      </c>
      <c r="B474" s="27" t="s">
        <v>710</v>
      </c>
      <c r="C474" t="str">
        <f t="shared" ref="C474:C533" si="128">LEFT(B474,FIND("（",B474)-1)</f>
        <v>こきょう</v>
      </c>
      <c r="D474" t="str">
        <f t="shared" ref="D474:D533" si="129">MID(B474,FIND("（",B474),FIND("）",B474)-FIND("（",B474)+1)</f>
        <v>（故郷）</v>
      </c>
      <c r="E474" t="str">
        <f t="shared" ref="E474:E533" si="130">RIGHT(B474,LEN(B474)-FIND("）",B474))</f>
        <v xml:space="preserve"> 〔名〕 故乡</v>
      </c>
    </row>
    <row r="475" spans="1:5" x14ac:dyDescent="0.15">
      <c r="A475">
        <f>ROW()</f>
        <v>475</v>
      </c>
      <c r="B475" s="27" t="s">
        <v>711</v>
      </c>
      <c r="C475" t="str">
        <f t="shared" si="128"/>
        <v>とおり</v>
      </c>
      <c r="D475" t="str">
        <f t="shared" si="129"/>
        <v>（通り）</v>
      </c>
      <c r="E475" t="str">
        <f t="shared" si="130"/>
        <v xml:space="preserve"> 〔名〕 大街</v>
      </c>
    </row>
    <row r="476" spans="1:5" x14ac:dyDescent="0.15">
      <c r="A476">
        <f>ROW()</f>
        <v>476</v>
      </c>
      <c r="B476" s="27" t="s">
        <v>712</v>
      </c>
      <c r="C476" t="str">
        <f t="shared" si="128"/>
        <v>まち</v>
      </c>
      <c r="D476" t="str">
        <f t="shared" si="129"/>
        <v>（町）</v>
      </c>
      <c r="E476" t="str">
        <f t="shared" si="130"/>
        <v xml:space="preserve"> 〔名〕 城市，街道</v>
      </c>
    </row>
    <row r="477" spans="1:5" x14ac:dyDescent="0.15">
      <c r="A477">
        <f>ROW()</f>
        <v>477</v>
      </c>
      <c r="B477" s="27" t="s">
        <v>713</v>
      </c>
      <c r="C477" t="str">
        <f t="shared" si="128"/>
        <v>ところ</v>
      </c>
      <c r="D477" t="str">
        <f t="shared" si="129"/>
        <v>（所）</v>
      </c>
      <c r="E477" t="str">
        <f t="shared" si="130"/>
        <v xml:space="preserve"> 〔名〕 场所</v>
      </c>
    </row>
    <row r="478" spans="1:5" x14ac:dyDescent="0.15">
      <c r="A478">
        <f>ROW()</f>
        <v>478</v>
      </c>
      <c r="B478" s="27" t="s">
        <v>714</v>
      </c>
      <c r="C478" t="str">
        <f t="shared" si="128"/>
        <v>おみせ</v>
      </c>
      <c r="D478" t="str">
        <f t="shared" si="129"/>
        <v>（お店）</v>
      </c>
      <c r="E478" t="str">
        <f t="shared" si="130"/>
        <v xml:space="preserve"> 〔名〕 餐馆；商店</v>
      </c>
    </row>
    <row r="479" spans="1:5" x14ac:dyDescent="0.15">
      <c r="A479">
        <f>ROW()</f>
        <v>479</v>
      </c>
      <c r="B479" s="27" t="s">
        <v>715</v>
      </c>
      <c r="C479" t="str">
        <f t="shared" si="128"/>
        <v>にんぎょう</v>
      </c>
      <c r="D479" t="str">
        <f t="shared" si="129"/>
        <v>（人形）</v>
      </c>
      <c r="E479" t="str">
        <f t="shared" si="130"/>
        <v xml:space="preserve"> 〔名〕 玩偶</v>
      </c>
    </row>
    <row r="480" spans="1:5" x14ac:dyDescent="0.15">
      <c r="A480">
        <f>ROW()</f>
        <v>480</v>
      </c>
      <c r="B480" s="27" t="s">
        <v>716</v>
      </c>
      <c r="C480" t="str">
        <f t="shared" si="128"/>
        <v>さくひん</v>
      </c>
      <c r="D480" t="str">
        <f t="shared" si="129"/>
        <v>（作品）</v>
      </c>
      <c r="E480" t="str">
        <f t="shared" si="130"/>
        <v xml:space="preserve"> 〔名〕 作品</v>
      </c>
    </row>
    <row r="481" spans="1:5" x14ac:dyDescent="0.15">
      <c r="A481">
        <f>ROW()</f>
        <v>481</v>
      </c>
      <c r="B481" s="27" t="s">
        <v>717</v>
      </c>
      <c r="C481" t="str">
        <f t="shared" si="128"/>
        <v>ちょうこく</v>
      </c>
      <c r="D481" t="str">
        <f t="shared" si="129"/>
        <v>（彫刻）</v>
      </c>
      <c r="E481" t="str">
        <f t="shared" si="130"/>
        <v xml:space="preserve"> 〔名〕 雕刻</v>
      </c>
    </row>
    <row r="482" spans="1:5" x14ac:dyDescent="0.15">
      <c r="A482">
        <f>ROW()</f>
        <v>482</v>
      </c>
      <c r="B482" s="27" t="s">
        <v>718</v>
      </c>
      <c r="C482" t="str">
        <f t="shared" si="128"/>
        <v>じどうしゃ</v>
      </c>
      <c r="D482" t="str">
        <f t="shared" si="129"/>
        <v>（自動車）</v>
      </c>
      <c r="E482" t="str">
        <f t="shared" si="130"/>
        <v xml:space="preserve"> 〔名〕 汽车</v>
      </c>
    </row>
    <row r="483" spans="1:5" x14ac:dyDescent="0.15">
      <c r="A483">
        <f>ROW()</f>
        <v>483</v>
      </c>
      <c r="B483" s="27" t="s">
        <v>719</v>
      </c>
      <c r="C483" t="str">
        <f t="shared" si="128"/>
        <v>どうぐ</v>
      </c>
      <c r="D483" t="str">
        <f t="shared" si="129"/>
        <v>（道具）</v>
      </c>
      <c r="E483" t="str">
        <f t="shared" si="130"/>
        <v xml:space="preserve"> 〔名〕 工具</v>
      </c>
    </row>
    <row r="484" spans="1:5" x14ac:dyDescent="0.15">
      <c r="A484">
        <f>ROW()</f>
        <v>484</v>
      </c>
      <c r="B484" s="27" t="s">
        <v>720</v>
      </c>
      <c r="C484" t="str">
        <f t="shared" si="128"/>
        <v>さかな</v>
      </c>
      <c r="D484" t="str">
        <f t="shared" si="129"/>
        <v>（魚）</v>
      </c>
      <c r="E484" t="str">
        <f t="shared" si="130"/>
        <v xml:space="preserve"> 〔名〕 鱼</v>
      </c>
    </row>
    <row r="485" spans="1:5" x14ac:dyDescent="0.15">
      <c r="A485">
        <f>ROW()</f>
        <v>485</v>
      </c>
      <c r="B485" s="27" t="s">
        <v>721</v>
      </c>
      <c r="C485" t="str">
        <f t="shared" si="128"/>
        <v>おかし</v>
      </c>
      <c r="D485" t="str">
        <f t="shared" si="129"/>
        <v>（お菓子）</v>
      </c>
      <c r="E485" t="str">
        <f t="shared" si="130"/>
        <v xml:space="preserve"> 〔名〕 点心</v>
      </c>
    </row>
    <row r="486" spans="1:5" x14ac:dyDescent="0.15">
      <c r="A486">
        <f>ROW()</f>
        <v>486</v>
      </c>
      <c r="B486" s="27" t="s">
        <v>722</v>
      </c>
      <c r="C486" t="str">
        <f t="shared" si="128"/>
        <v>もの</v>
      </c>
      <c r="D486" t="str">
        <f t="shared" si="129"/>
        <v>（物）</v>
      </c>
      <c r="E486" t="str">
        <f t="shared" si="130"/>
        <v xml:space="preserve"> 〔名〕 物品，东西</v>
      </c>
    </row>
    <row r="487" spans="1:5" x14ac:dyDescent="0.15">
      <c r="A487">
        <f>ROW()</f>
        <v>487</v>
      </c>
      <c r="B487" s="27" t="s">
        <v>723</v>
      </c>
      <c r="C487" t="str">
        <f t="shared" ref="C487" si="131">LEFT(B487,FIND("〔",B487)-1)</f>
        <v xml:space="preserve">シーズン </v>
      </c>
      <c r="E487" t="str">
        <f t="shared" ref="E487" si="132">RIGHT(B487,LEN(B487)-FIND("〔",B487)+1)</f>
        <v>〔名〕 季节</v>
      </c>
    </row>
    <row r="488" spans="1:5" x14ac:dyDescent="0.15">
      <c r="A488">
        <f>ROW()</f>
        <v>488</v>
      </c>
      <c r="B488" s="27" t="s">
        <v>724</v>
      </c>
      <c r="C488" t="str">
        <f t="shared" si="128"/>
        <v>しゅうがくりょこう</v>
      </c>
      <c r="D488" t="str">
        <f t="shared" si="129"/>
        <v>（修学旅行）</v>
      </c>
      <c r="E488" t="str">
        <f t="shared" si="130"/>
        <v xml:space="preserve"> 〔名〕 修学旅行</v>
      </c>
    </row>
    <row r="489" spans="1:5" x14ac:dyDescent="0.15">
      <c r="A489">
        <f>ROW()</f>
        <v>489</v>
      </c>
      <c r="B489" s="27" t="s">
        <v>725</v>
      </c>
      <c r="C489" t="str">
        <f t="shared" si="128"/>
        <v>かんこうきゃく</v>
      </c>
      <c r="D489" t="str">
        <f t="shared" si="129"/>
        <v>（観光客）</v>
      </c>
      <c r="E489" t="str">
        <f t="shared" si="130"/>
        <v xml:space="preserve"> 〔名〕 游客</v>
      </c>
    </row>
    <row r="490" spans="1:5" x14ac:dyDescent="0.15">
      <c r="A490">
        <f>ROW()</f>
        <v>490</v>
      </c>
      <c r="B490" s="27" t="s">
        <v>726</v>
      </c>
      <c r="C490" t="str">
        <f t="shared" si="128"/>
        <v>さっか</v>
      </c>
      <c r="D490" t="str">
        <f t="shared" si="129"/>
        <v>（作家）</v>
      </c>
      <c r="E490" t="str">
        <f t="shared" si="130"/>
        <v xml:space="preserve"> 〔名〕 作家</v>
      </c>
    </row>
    <row r="491" spans="1:5" x14ac:dyDescent="0.15">
      <c r="A491">
        <f>ROW()</f>
        <v>491</v>
      </c>
      <c r="B491" s="27" t="s">
        <v>727</v>
      </c>
      <c r="C491" t="str">
        <f t="shared" si="128"/>
        <v>ぶちょう</v>
      </c>
      <c r="D491" t="str">
        <f t="shared" si="129"/>
        <v>（部長）</v>
      </c>
      <c r="E491" t="str">
        <f t="shared" si="130"/>
        <v xml:space="preserve"> 〔名〕 部长</v>
      </c>
    </row>
    <row r="492" spans="1:5" x14ac:dyDescent="0.15">
      <c r="A492">
        <f>ROW()</f>
        <v>492</v>
      </c>
      <c r="B492" s="27" t="s">
        <v>728</v>
      </c>
      <c r="C492" t="str">
        <f t="shared" si="128"/>
        <v>へいじつ</v>
      </c>
      <c r="D492" t="str">
        <f t="shared" si="129"/>
        <v>（平日）</v>
      </c>
      <c r="E492" t="str">
        <f t="shared" si="130"/>
        <v xml:space="preserve"> 〔名〕 平日，非休息日</v>
      </c>
    </row>
    <row r="493" spans="1:5" x14ac:dyDescent="0.15">
      <c r="A493">
        <f>ROW()</f>
        <v>493</v>
      </c>
      <c r="B493" s="27" t="s">
        <v>729</v>
      </c>
      <c r="C493" t="str">
        <f t="shared" si="128"/>
        <v>ひ</v>
      </c>
      <c r="D493" t="str">
        <f t="shared" si="129"/>
        <v>（日）</v>
      </c>
      <c r="E493" t="str">
        <f t="shared" si="130"/>
        <v xml:space="preserve"> 〔名〕 日子</v>
      </c>
    </row>
    <row r="494" spans="1:5" x14ac:dyDescent="0.15">
      <c r="A494">
        <f>ROW()</f>
        <v>494</v>
      </c>
      <c r="B494" s="27" t="s">
        <v>730</v>
      </c>
      <c r="C494" t="str">
        <f t="shared" si="128"/>
        <v>せいかつ</v>
      </c>
      <c r="D494" t="str">
        <f t="shared" si="129"/>
        <v>（生活）</v>
      </c>
      <c r="E494" t="str">
        <f t="shared" si="130"/>
        <v xml:space="preserve"> 〔名〕 生活</v>
      </c>
    </row>
    <row r="495" spans="1:5" x14ac:dyDescent="0.15">
      <c r="A495">
        <f>ROW()</f>
        <v>495</v>
      </c>
      <c r="B495" s="27" t="s">
        <v>731</v>
      </c>
      <c r="C495" t="str">
        <f t="shared" si="128"/>
        <v>せかい</v>
      </c>
      <c r="D495" t="str">
        <f t="shared" si="129"/>
        <v>（世界）</v>
      </c>
      <c r="E495" t="str">
        <f t="shared" si="130"/>
        <v xml:space="preserve"> 〔名〕 世界</v>
      </c>
    </row>
    <row r="496" spans="1:5" x14ac:dyDescent="0.15">
      <c r="A496">
        <f>ROW()</f>
        <v>496</v>
      </c>
      <c r="B496" s="27" t="s">
        <v>732</v>
      </c>
      <c r="C496" t="str">
        <f t="shared" si="128"/>
        <v>はれ</v>
      </c>
      <c r="D496" t="str">
        <f t="shared" si="129"/>
        <v>（晴れ）</v>
      </c>
      <c r="E496" t="str">
        <f t="shared" si="130"/>
        <v xml:space="preserve"> 〔名〕 晴天</v>
      </c>
    </row>
    <row r="497" spans="1:5" x14ac:dyDescent="0.15">
      <c r="A497">
        <f>ROW()</f>
        <v>497</v>
      </c>
      <c r="B497" s="27" t="s">
        <v>733</v>
      </c>
      <c r="C497" t="str">
        <f t="shared" si="128"/>
        <v>あめ</v>
      </c>
      <c r="D497" t="str">
        <f t="shared" si="129"/>
        <v>（雨）</v>
      </c>
      <c r="E497" t="str">
        <f t="shared" si="130"/>
        <v xml:space="preserve"> 〔名〕 雨，下雨</v>
      </c>
    </row>
    <row r="498" spans="1:5" x14ac:dyDescent="0.15">
      <c r="A498">
        <f>ROW()</f>
        <v>498</v>
      </c>
      <c r="B498" s="27" t="s">
        <v>734</v>
      </c>
      <c r="C498" t="str">
        <f t="shared" si="128"/>
        <v>くもり</v>
      </c>
      <c r="D498" t="str">
        <f t="shared" si="129"/>
        <v>（曇り）</v>
      </c>
      <c r="E498" t="str">
        <f t="shared" si="130"/>
        <v xml:space="preserve"> 〔名〕 阴天</v>
      </c>
    </row>
    <row r="499" spans="1:5" x14ac:dyDescent="0.15">
      <c r="A499">
        <f>ROW()</f>
        <v>499</v>
      </c>
      <c r="B499" s="27" t="s">
        <v>735</v>
      </c>
      <c r="C499" t="str">
        <f t="shared" si="128"/>
        <v>ゆき</v>
      </c>
      <c r="D499" t="str">
        <f t="shared" si="129"/>
        <v>（雪）</v>
      </c>
      <c r="E499" t="str">
        <f t="shared" si="130"/>
        <v xml:space="preserve"> 〔名〕 雪</v>
      </c>
    </row>
    <row r="500" spans="1:5" x14ac:dyDescent="0.15">
      <c r="A500">
        <f>ROW()</f>
        <v>500</v>
      </c>
      <c r="B500" s="27" t="s">
        <v>736</v>
      </c>
      <c r="C500" t="str">
        <f t="shared" si="128"/>
        <v>きたない</v>
      </c>
      <c r="D500" t="str">
        <f t="shared" si="129"/>
        <v>（汚い）</v>
      </c>
      <c r="E500" t="str">
        <f t="shared" si="130"/>
        <v xml:space="preserve"> 〔形1〕 脏</v>
      </c>
    </row>
    <row r="501" spans="1:5" x14ac:dyDescent="0.15">
      <c r="A501">
        <f>ROW()</f>
        <v>501</v>
      </c>
      <c r="B501" s="27" t="s">
        <v>737</v>
      </c>
      <c r="C501" t="str">
        <f t="shared" ref="C501" si="133">LEFT(B501,FIND("〔",B501)-1)</f>
        <v xml:space="preserve">きれい </v>
      </c>
      <c r="E501" t="str">
        <f t="shared" ref="E501" si="134">RIGHT(B501,LEN(B501)-FIND("〔",B501)+1)</f>
        <v>〔形2〕 漂亮，干净</v>
      </c>
    </row>
    <row r="502" spans="1:5" x14ac:dyDescent="0.15">
      <c r="A502">
        <f>ROW()</f>
        <v>502</v>
      </c>
      <c r="B502" s="27" t="s">
        <v>738</v>
      </c>
      <c r="C502" t="str">
        <f t="shared" si="128"/>
        <v>ゆうめい</v>
      </c>
      <c r="D502" t="str">
        <f t="shared" si="129"/>
        <v>（有名）</v>
      </c>
      <c r="E502" t="str">
        <f t="shared" si="130"/>
        <v xml:space="preserve"> 〔形1〕 有名</v>
      </c>
    </row>
    <row r="503" spans="1:5" x14ac:dyDescent="0.15">
      <c r="A503">
        <f>ROW()</f>
        <v>503</v>
      </c>
      <c r="B503" s="27" t="s">
        <v>739</v>
      </c>
      <c r="C503" t="str">
        <f t="shared" ref="C503" si="135">LEFT(B503,FIND("〔",B503)-1)</f>
        <v xml:space="preserve">にぎやか </v>
      </c>
      <c r="E503" t="str">
        <f t="shared" ref="E503" si="136">RIGHT(B503,LEN(B503)-FIND("〔",B503)+1)</f>
        <v>〔形2〕 热闹，繁华</v>
      </c>
    </row>
    <row r="504" spans="1:5" x14ac:dyDescent="0.15">
      <c r="A504">
        <f>ROW()</f>
        <v>504</v>
      </c>
      <c r="B504" s="27" t="s">
        <v>740</v>
      </c>
      <c r="C504" t="str">
        <f t="shared" si="128"/>
        <v>しずか</v>
      </c>
      <c r="D504" t="str">
        <f t="shared" si="129"/>
        <v>（静か）</v>
      </c>
      <c r="E504" t="str">
        <f t="shared" si="130"/>
        <v xml:space="preserve"> 〔形2〕 安静</v>
      </c>
    </row>
    <row r="505" spans="1:5" x14ac:dyDescent="0.15">
      <c r="A505">
        <f>ROW()</f>
        <v>505</v>
      </c>
      <c r="B505" s="27" t="s">
        <v>741</v>
      </c>
      <c r="C505" t="str">
        <f t="shared" si="128"/>
        <v>ひま</v>
      </c>
      <c r="D505" t="str">
        <f t="shared" si="129"/>
        <v>（暇）</v>
      </c>
      <c r="E505" t="str">
        <f t="shared" si="130"/>
        <v xml:space="preserve"> 〔形2〕 空闲</v>
      </c>
    </row>
    <row r="506" spans="1:5" x14ac:dyDescent="0.15">
      <c r="A506">
        <f>ROW()</f>
        <v>506</v>
      </c>
      <c r="B506" s="27" t="s">
        <v>742</v>
      </c>
      <c r="C506" t="str">
        <f t="shared" si="128"/>
        <v>しんせつ</v>
      </c>
      <c r="D506" t="str">
        <f t="shared" si="129"/>
        <v>（親切）</v>
      </c>
      <c r="E506" t="str">
        <f t="shared" si="130"/>
        <v xml:space="preserve"> 〔形2〕 热情</v>
      </c>
    </row>
    <row r="507" spans="1:5" x14ac:dyDescent="0.15">
      <c r="A507">
        <f>ROW()</f>
        <v>507</v>
      </c>
      <c r="B507" s="27" t="s">
        <v>743</v>
      </c>
      <c r="C507" t="str">
        <f t="shared" si="128"/>
        <v>すき</v>
      </c>
      <c r="D507" t="str">
        <f t="shared" si="129"/>
        <v>（好き）</v>
      </c>
      <c r="E507" t="str">
        <f t="shared" si="130"/>
        <v xml:space="preserve"> 〔形2〕 喜欢</v>
      </c>
    </row>
    <row r="508" spans="1:5" x14ac:dyDescent="0.15">
      <c r="A508">
        <f>ROW()</f>
        <v>508</v>
      </c>
      <c r="B508" s="27" t="s">
        <v>744</v>
      </c>
      <c r="C508" t="str">
        <f t="shared" si="128"/>
        <v>きらい</v>
      </c>
      <c r="D508" t="str">
        <f t="shared" si="129"/>
        <v>（嫌い）</v>
      </c>
      <c r="E508" t="str">
        <f t="shared" si="130"/>
        <v xml:space="preserve"> 〔形2〕 讨厌</v>
      </c>
    </row>
    <row r="509" spans="1:5" x14ac:dyDescent="0.15">
      <c r="A509">
        <f>ROW()</f>
        <v>509</v>
      </c>
      <c r="B509" s="27" t="s">
        <v>745</v>
      </c>
      <c r="C509" t="str">
        <f t="shared" si="128"/>
        <v>べんり</v>
      </c>
      <c r="D509" t="str">
        <f t="shared" si="129"/>
        <v>（便利）</v>
      </c>
      <c r="E509" t="str">
        <f t="shared" si="130"/>
        <v xml:space="preserve"> 〔形2〕 方便</v>
      </c>
    </row>
    <row r="510" spans="1:5" x14ac:dyDescent="0.15">
      <c r="A510">
        <f>ROW()</f>
        <v>510</v>
      </c>
      <c r="B510" s="27" t="s">
        <v>746</v>
      </c>
      <c r="C510" t="str">
        <f t="shared" si="128"/>
        <v>ふべん</v>
      </c>
      <c r="D510" t="str">
        <f t="shared" si="129"/>
        <v>（不便）</v>
      </c>
      <c r="E510" t="str">
        <f t="shared" si="130"/>
        <v xml:space="preserve"> 〔形2〕 不方便</v>
      </c>
    </row>
    <row r="511" spans="1:5" x14ac:dyDescent="0.15">
      <c r="A511">
        <f>ROW()</f>
        <v>511</v>
      </c>
      <c r="B511" s="27" t="s">
        <v>747</v>
      </c>
      <c r="C511" t="str">
        <f t="shared" si="128"/>
        <v>げんき</v>
      </c>
      <c r="D511" t="str">
        <f t="shared" si="129"/>
        <v>（元気）</v>
      </c>
      <c r="E511" t="str">
        <f t="shared" si="130"/>
        <v xml:space="preserve"> 〔形2〕 健康，有精神</v>
      </c>
    </row>
    <row r="512" spans="1:5" x14ac:dyDescent="0.15">
      <c r="A512">
        <f>ROW()</f>
        <v>512</v>
      </c>
      <c r="B512" s="27" t="s">
        <v>748</v>
      </c>
      <c r="C512" t="str">
        <f t="shared" si="128"/>
        <v>かんたん</v>
      </c>
      <c r="D512" t="str">
        <f t="shared" si="129"/>
        <v>（簡単）</v>
      </c>
      <c r="E512" t="str">
        <f t="shared" si="130"/>
        <v xml:space="preserve"> 〔形2〕 简单</v>
      </c>
    </row>
    <row r="513" spans="1:5" x14ac:dyDescent="0.15">
      <c r="A513">
        <f>ROW()</f>
        <v>513</v>
      </c>
      <c r="B513" s="27" t="s">
        <v>749</v>
      </c>
      <c r="C513" t="str">
        <f t="shared" ref="C513:C519" si="137">LEFT(B513,FIND("〔",B513)-1)</f>
        <v xml:space="preserve">ハンサム </v>
      </c>
      <c r="E513" t="str">
        <f t="shared" ref="E513:E519" si="138">RIGHT(B513,LEN(B513)-FIND("〔",B513)+1)</f>
        <v>〔形2〕 英俊，帅气</v>
      </c>
    </row>
    <row r="514" spans="1:5" x14ac:dyDescent="0.15">
      <c r="A514">
        <f>ROW()</f>
        <v>514</v>
      </c>
      <c r="B514" s="27" t="s">
        <v>750</v>
      </c>
      <c r="C514" t="str">
        <f t="shared" si="137"/>
        <v xml:space="preserve">どんな </v>
      </c>
      <c r="E514" t="str">
        <f t="shared" si="138"/>
        <v>〔疑〕 什么样的，怎样的</v>
      </c>
    </row>
    <row r="515" spans="1:5" x14ac:dyDescent="0.15">
      <c r="A515">
        <f>ROW()</f>
        <v>515</v>
      </c>
      <c r="B515" s="27" t="s">
        <v>751</v>
      </c>
      <c r="C515" t="str">
        <f t="shared" si="137"/>
        <v xml:space="preserve">どう </v>
      </c>
      <c r="E515" t="str">
        <f t="shared" si="138"/>
        <v>〔副〕 怎样，如何</v>
      </c>
    </row>
    <row r="516" spans="1:5" x14ac:dyDescent="0.15">
      <c r="A516">
        <f>ROW()</f>
        <v>516</v>
      </c>
      <c r="B516" s="27" t="s">
        <v>752</v>
      </c>
      <c r="C516" t="str">
        <f t="shared" si="137"/>
        <v xml:space="preserve">いかが </v>
      </c>
      <c r="E516" t="str">
        <f t="shared" si="138"/>
        <v>〔副〕 如何</v>
      </c>
    </row>
    <row r="517" spans="1:5" x14ac:dyDescent="0.15">
      <c r="A517">
        <f>ROW()</f>
        <v>517</v>
      </c>
      <c r="B517" s="27" t="s">
        <v>753</v>
      </c>
      <c r="C517" t="str">
        <f t="shared" si="137"/>
        <v xml:space="preserve">いろいろ </v>
      </c>
      <c r="E517" t="str">
        <f t="shared" si="138"/>
        <v>〔副〕 各种各样</v>
      </c>
    </row>
    <row r="518" spans="1:5" x14ac:dyDescent="0.15">
      <c r="A518">
        <f>ROW()</f>
        <v>518</v>
      </c>
      <c r="B518" s="27" t="s">
        <v>754</v>
      </c>
      <c r="C518" t="str">
        <f t="shared" si="137"/>
        <v xml:space="preserve">でも </v>
      </c>
      <c r="E518" t="str">
        <f t="shared" si="138"/>
        <v>〔连〕 可是，不过</v>
      </c>
    </row>
    <row r="519" spans="1:5" x14ac:dyDescent="0.15">
      <c r="A519">
        <f>ROW()</f>
        <v>519</v>
      </c>
      <c r="B519" s="27" t="s">
        <v>755</v>
      </c>
      <c r="C519" t="str">
        <f t="shared" si="137"/>
        <v xml:space="preserve">そして </v>
      </c>
      <c r="E519" t="str">
        <f t="shared" si="138"/>
        <v>〔连〕 而且，于是</v>
      </c>
    </row>
    <row r="520" spans="1:5" x14ac:dyDescent="0.15">
      <c r="A520">
        <f>ROW()</f>
        <v>520</v>
      </c>
      <c r="B520" s="27" t="s">
        <v>756</v>
      </c>
      <c r="C520" t="str">
        <f>LEFT(B520,FIND(" ",B520)-1)</f>
        <v>ところで</v>
      </c>
      <c r="E520" t="str">
        <f>RIGHT(B520,LEN(B520)-FIND(" ",B520))</f>
        <v>〔连〕 （转换话题） 哎</v>
      </c>
    </row>
    <row r="521" spans="1:5" x14ac:dyDescent="0.15">
      <c r="A521">
        <f>ROW()</f>
        <v>521</v>
      </c>
      <c r="B521" s="27" t="s">
        <v>757</v>
      </c>
      <c r="C521" t="str">
        <f t="shared" ref="C521" si="139">LEFT(B521,FIND("〔",B521)-1)</f>
        <v xml:space="preserve">あれえ </v>
      </c>
      <c r="E521" t="str">
        <f t="shared" ref="E521" si="140">RIGHT(B521,LEN(B521)-FIND("〔",B521)+1)</f>
        <v>〔叹〕 咦</v>
      </c>
    </row>
    <row r="522" spans="1:5" x14ac:dyDescent="0.15">
      <c r="A522">
        <f>ROW()</f>
        <v>522</v>
      </c>
      <c r="B522" s="27" t="s">
        <v>758</v>
      </c>
      <c r="C522" t="str">
        <f t="shared" si="128"/>
        <v>なら</v>
      </c>
      <c r="D522" t="str">
        <f t="shared" si="129"/>
        <v>（奈良）</v>
      </c>
      <c r="E522" t="str">
        <f t="shared" si="130"/>
        <v xml:space="preserve"> 〔专〕 奈良</v>
      </c>
    </row>
    <row r="523" spans="1:5" x14ac:dyDescent="0.15">
      <c r="A523">
        <f>ROW()</f>
        <v>523</v>
      </c>
      <c r="B523" s="27" t="s">
        <v>759</v>
      </c>
      <c r="C523" t="str">
        <f t="shared" si="128"/>
        <v>ふじさん</v>
      </c>
      <c r="D523" t="str">
        <f t="shared" si="129"/>
        <v>（富士山）</v>
      </c>
      <c r="E523" t="str">
        <f t="shared" si="130"/>
        <v xml:space="preserve"> 〔专〕 富士山</v>
      </c>
    </row>
    <row r="524" spans="1:5" x14ac:dyDescent="0.15">
      <c r="A524">
        <f>ROW()</f>
        <v>524</v>
      </c>
      <c r="B524" s="27" t="s">
        <v>760</v>
      </c>
      <c r="C524" t="str">
        <f t="shared" si="128"/>
        <v>もうすこし</v>
      </c>
      <c r="D524" t="str">
        <f t="shared" si="129"/>
        <v>（もう少し）</v>
      </c>
      <c r="E524" t="str">
        <f t="shared" si="130"/>
        <v xml:space="preserve"> 再～一点</v>
      </c>
    </row>
    <row r="525" spans="1:5" x14ac:dyDescent="0.15">
      <c r="A525">
        <f>ROW()</f>
        <v>525</v>
      </c>
      <c r="B525" s="27" t="s">
        <v>761</v>
      </c>
      <c r="C525" t="str">
        <f t="shared" si="128"/>
        <v>うた</v>
      </c>
      <c r="D525" t="str">
        <f t="shared" si="129"/>
        <v>（歌）</v>
      </c>
      <c r="E525" t="str">
        <f t="shared" si="130"/>
        <v xml:space="preserve"> 〔名〕 歌，歌曲</v>
      </c>
    </row>
    <row r="526" spans="1:5" x14ac:dyDescent="0.15">
      <c r="A526">
        <f>ROW()</f>
        <v>526</v>
      </c>
      <c r="B526" s="27" t="s">
        <v>762</v>
      </c>
      <c r="C526" t="str">
        <f t="shared" ref="C526:C530" si="141">LEFT(B526,FIND("〔",B526)-1)</f>
        <v xml:space="preserve">カラオケ </v>
      </c>
      <c r="E526" t="str">
        <f t="shared" ref="E526:E530" si="142">RIGHT(B526,LEN(B526)-FIND("〔",B526)+1)</f>
        <v>〔名〕 卡拉OK</v>
      </c>
    </row>
    <row r="527" spans="1:5" x14ac:dyDescent="0.15">
      <c r="A527">
        <f>ROW()</f>
        <v>527</v>
      </c>
      <c r="B527" s="27" t="s">
        <v>763</v>
      </c>
      <c r="C527" t="str">
        <f t="shared" si="141"/>
        <v xml:space="preserve">ロック </v>
      </c>
      <c r="E527" t="str">
        <f t="shared" si="142"/>
        <v>〔名〕 摇滚乐</v>
      </c>
    </row>
    <row r="528" spans="1:5" x14ac:dyDescent="0.15">
      <c r="A528">
        <f>ROW()</f>
        <v>528</v>
      </c>
      <c r="B528" s="27" t="s">
        <v>764</v>
      </c>
      <c r="C528" t="str">
        <f t="shared" si="141"/>
        <v xml:space="preserve">ボブッス </v>
      </c>
      <c r="E528" t="str">
        <f t="shared" si="142"/>
        <v>〔名〕 流行音乐</v>
      </c>
    </row>
    <row r="529" spans="1:5" x14ac:dyDescent="0.15">
      <c r="A529">
        <f>ROW()</f>
        <v>529</v>
      </c>
      <c r="B529" s="27" t="s">
        <v>765</v>
      </c>
      <c r="C529" t="str">
        <f t="shared" si="141"/>
        <v xml:space="preserve">クラシック </v>
      </c>
      <c r="E529" t="str">
        <f t="shared" si="142"/>
        <v>〔名〕 西方古典音乐</v>
      </c>
    </row>
    <row r="530" spans="1:5" x14ac:dyDescent="0.15">
      <c r="A530">
        <f>ROW()</f>
        <v>530</v>
      </c>
      <c r="B530" s="27" t="s">
        <v>766</v>
      </c>
      <c r="C530" t="str">
        <f t="shared" si="141"/>
        <v xml:space="preserve">ピアノ </v>
      </c>
      <c r="E530" t="str">
        <f t="shared" si="142"/>
        <v>〔名〕 钢琴</v>
      </c>
    </row>
    <row r="531" spans="1:5" x14ac:dyDescent="0.15">
      <c r="A531">
        <f>ROW()</f>
        <v>531</v>
      </c>
      <c r="B531" s="27" t="s">
        <v>767</v>
      </c>
      <c r="C531" t="str">
        <f t="shared" si="128"/>
        <v>え</v>
      </c>
      <c r="D531" t="str">
        <f t="shared" si="129"/>
        <v>（絵）</v>
      </c>
      <c r="E531" t="str">
        <f t="shared" si="130"/>
        <v xml:space="preserve"> 〔名〕 画儿</v>
      </c>
    </row>
    <row r="532" spans="1:5" x14ac:dyDescent="0.15">
      <c r="A532">
        <f>ROW()</f>
        <v>532</v>
      </c>
      <c r="B532" s="27" t="s">
        <v>768</v>
      </c>
      <c r="C532" t="str">
        <f t="shared" si="128"/>
        <v>えいご</v>
      </c>
      <c r="D532" t="str">
        <f t="shared" si="129"/>
        <v>（英語）</v>
      </c>
      <c r="E532" t="str">
        <f t="shared" si="130"/>
        <v xml:space="preserve"> 〔名〕 英语</v>
      </c>
    </row>
    <row r="533" spans="1:5" x14ac:dyDescent="0.15">
      <c r="A533">
        <f>ROW()</f>
        <v>533</v>
      </c>
      <c r="B533" s="27" t="s">
        <v>769</v>
      </c>
      <c r="C533" t="str">
        <f t="shared" si="128"/>
        <v>スペインご</v>
      </c>
      <c r="D533" t="str">
        <f t="shared" si="129"/>
        <v>（～語）</v>
      </c>
      <c r="E533" t="str">
        <f t="shared" si="130"/>
        <v xml:space="preserve"> 〔名〕 西班牙语</v>
      </c>
    </row>
    <row r="534" spans="1:5" x14ac:dyDescent="0.15">
      <c r="A534">
        <f>ROW()</f>
        <v>534</v>
      </c>
      <c r="B534" s="27" t="s">
        <v>770</v>
      </c>
      <c r="C534" t="str">
        <f t="shared" ref="C534" si="143">LEFT(B534,FIND("〔",B534)-1)</f>
        <v xml:space="preserve">スポーツ </v>
      </c>
      <c r="E534" t="str">
        <f t="shared" ref="E534" si="144">RIGHT(B534,LEN(B534)-FIND("〔",B534)+1)</f>
        <v>〔名〕 体育，运动</v>
      </c>
    </row>
    <row r="535" spans="1:5" x14ac:dyDescent="0.15">
      <c r="A535">
        <f>ROW()</f>
        <v>535</v>
      </c>
      <c r="B535" s="27" t="s">
        <v>771</v>
      </c>
      <c r="C535" t="str">
        <f t="shared" ref="C535:C593" si="145">LEFT(B535,FIND("（",B535)-1)</f>
        <v>すいえい</v>
      </c>
      <c r="D535" t="str">
        <f t="shared" ref="D535:D593" si="146">MID(B535,FIND("（",B535),FIND("）",B535)-FIND("（",B535)+1)</f>
        <v>（水泳）</v>
      </c>
      <c r="E535" t="str">
        <f t="shared" ref="E535:E593" si="147">RIGHT(B535,LEN(B535)-FIND("）",B535))</f>
        <v xml:space="preserve"> 〔名〕 游泳</v>
      </c>
    </row>
    <row r="536" spans="1:5" x14ac:dyDescent="0.15">
      <c r="A536">
        <f>ROW()</f>
        <v>536</v>
      </c>
      <c r="B536" s="27" t="s">
        <v>772</v>
      </c>
      <c r="C536" t="str">
        <f t="shared" ref="C536" si="148">LEFT(B536,FIND("〔",B536)-1)</f>
        <v xml:space="preserve">ゴルフ </v>
      </c>
      <c r="E536" t="str">
        <f t="shared" ref="E536" si="149">RIGHT(B536,LEN(B536)-FIND("〔",B536)+1)</f>
        <v>〔名〕 高尔夫球</v>
      </c>
    </row>
    <row r="537" spans="1:5" x14ac:dyDescent="0.15">
      <c r="A537">
        <f>ROW()</f>
        <v>537</v>
      </c>
      <c r="B537" s="27" t="s">
        <v>773</v>
      </c>
      <c r="C537" t="str">
        <f t="shared" si="145"/>
        <v>うんてん</v>
      </c>
      <c r="D537" t="str">
        <f t="shared" si="146"/>
        <v>（運転）</v>
      </c>
      <c r="E537" t="str">
        <f t="shared" si="147"/>
        <v xml:space="preserve"> 〔名〕 开车</v>
      </c>
    </row>
    <row r="538" spans="1:5" x14ac:dyDescent="0.15">
      <c r="A538">
        <f>ROW()</f>
        <v>538</v>
      </c>
      <c r="B538" s="27" t="s">
        <v>774</v>
      </c>
      <c r="C538" t="str">
        <f t="shared" si="145"/>
        <v>のみもの</v>
      </c>
      <c r="D538" t="str">
        <f t="shared" si="146"/>
        <v>（飲み物）</v>
      </c>
      <c r="E538" t="str">
        <f t="shared" si="147"/>
        <v xml:space="preserve"> 〔名〕 饮料</v>
      </c>
    </row>
    <row r="539" spans="1:5" x14ac:dyDescent="0.15">
      <c r="A539">
        <f>ROW()</f>
        <v>539</v>
      </c>
      <c r="B539" s="27" t="s">
        <v>775</v>
      </c>
      <c r="C539" t="str">
        <f t="shared" si="145"/>
        <v>おさけ</v>
      </c>
      <c r="D539" t="str">
        <f t="shared" si="146"/>
        <v>（お酒）</v>
      </c>
      <c r="E539" t="str">
        <f t="shared" si="147"/>
        <v xml:space="preserve"> 〔名〕 酒，酒类</v>
      </c>
    </row>
    <row r="540" spans="1:5" x14ac:dyDescent="0.15">
      <c r="A540">
        <f>ROW()</f>
        <v>540</v>
      </c>
      <c r="B540" s="27" t="s">
        <v>776</v>
      </c>
      <c r="C540" t="str">
        <f t="shared" si="145"/>
        <v>にく</v>
      </c>
      <c r="D540" t="str">
        <f t="shared" si="146"/>
        <v>（肉）</v>
      </c>
      <c r="E540" t="str">
        <f t="shared" si="147"/>
        <v xml:space="preserve"> 〔名〕 肉</v>
      </c>
    </row>
    <row r="541" spans="1:5" x14ac:dyDescent="0.15">
      <c r="A541">
        <f>ROW()</f>
        <v>541</v>
      </c>
      <c r="B541" s="27" t="s">
        <v>777</v>
      </c>
      <c r="C541" t="str">
        <f t="shared" si="145"/>
        <v>やさい</v>
      </c>
      <c r="D541" t="str">
        <f t="shared" si="146"/>
        <v>（野菜）</v>
      </c>
      <c r="E541" t="str">
        <f t="shared" si="147"/>
        <v xml:space="preserve"> 〔名〕 蔬菜</v>
      </c>
    </row>
    <row r="542" spans="1:5" x14ac:dyDescent="0.15">
      <c r="A542">
        <f>ROW()</f>
        <v>542</v>
      </c>
      <c r="B542" s="27" t="s">
        <v>778</v>
      </c>
      <c r="C542" t="str">
        <f t="shared" si="145"/>
        <v>くだもの</v>
      </c>
      <c r="D542" t="str">
        <f t="shared" si="146"/>
        <v>（果物）</v>
      </c>
      <c r="E542" t="str">
        <f t="shared" si="147"/>
        <v xml:space="preserve"> 〔名〕 水果</v>
      </c>
    </row>
    <row r="543" spans="1:5" x14ac:dyDescent="0.15">
      <c r="A543">
        <f>ROW()</f>
        <v>543</v>
      </c>
      <c r="B543" s="27" t="s">
        <v>779</v>
      </c>
      <c r="C543" t="str">
        <f t="shared" ref="C543:C545" si="150">LEFT(B543,FIND("〔",B543)-1)</f>
        <v xml:space="preserve">ヒマワリ </v>
      </c>
      <c r="E543" t="str">
        <f t="shared" ref="E543:E545" si="151">RIGHT(B543,LEN(B543)-FIND("〔",B543)+1)</f>
        <v>〔名〕 向日葵</v>
      </c>
    </row>
    <row r="544" spans="1:5" x14ac:dyDescent="0.15">
      <c r="A544">
        <f>ROW()</f>
        <v>544</v>
      </c>
      <c r="B544" s="27" t="s">
        <v>780</v>
      </c>
      <c r="C544" t="str">
        <f t="shared" si="150"/>
        <v xml:space="preserve">バラ </v>
      </c>
      <c r="E544" t="str">
        <f t="shared" si="151"/>
        <v>〔名〕 蔷薇，玫瑰</v>
      </c>
    </row>
    <row r="545" spans="1:5" x14ac:dyDescent="0.15">
      <c r="A545">
        <f>ROW()</f>
        <v>545</v>
      </c>
      <c r="B545" s="27" t="s">
        <v>781</v>
      </c>
      <c r="C545" t="str">
        <f t="shared" si="150"/>
        <v xml:space="preserve">コンピュータ </v>
      </c>
      <c r="E545" t="str">
        <f t="shared" si="151"/>
        <v>〔名〕 计算机，电脑</v>
      </c>
    </row>
    <row r="546" spans="1:5" x14ac:dyDescent="0.15">
      <c r="A546">
        <f>ROW()</f>
        <v>546</v>
      </c>
      <c r="B546" s="27" t="s">
        <v>782</v>
      </c>
      <c r="C546" t="str">
        <f t="shared" si="145"/>
        <v>まど</v>
      </c>
      <c r="D546" t="str">
        <f t="shared" si="146"/>
        <v>（窓）</v>
      </c>
      <c r="E546" t="str">
        <f t="shared" si="147"/>
        <v xml:space="preserve"> 〔名〕 窗，窗户</v>
      </c>
    </row>
    <row r="547" spans="1:5" x14ac:dyDescent="0.15">
      <c r="A547">
        <f>ROW()</f>
        <v>547</v>
      </c>
      <c r="B547" s="27" t="s">
        <v>783</v>
      </c>
      <c r="C547" t="str">
        <f t="shared" si="145"/>
        <v>けっこんしき</v>
      </c>
      <c r="D547" t="str">
        <f t="shared" si="146"/>
        <v>（結婚式）</v>
      </c>
      <c r="E547" t="str">
        <f t="shared" si="147"/>
        <v xml:space="preserve"> 〔名〕 结婚典礼</v>
      </c>
    </row>
    <row r="548" spans="1:5" x14ac:dyDescent="0.15">
      <c r="A548">
        <f>ROW()</f>
        <v>548</v>
      </c>
      <c r="B548" s="27" t="s">
        <v>784</v>
      </c>
      <c r="C548" t="str">
        <f t="shared" si="145"/>
        <v>しゃしんてん</v>
      </c>
      <c r="D548" t="str">
        <f t="shared" si="146"/>
        <v>（写真展）</v>
      </c>
      <c r="E548" t="str">
        <f t="shared" si="147"/>
        <v xml:space="preserve"> 〔名〕 摄影展</v>
      </c>
    </row>
    <row r="549" spans="1:5" x14ac:dyDescent="0.15">
      <c r="A549">
        <f>ROW()</f>
        <v>549</v>
      </c>
      <c r="B549" s="27" t="s">
        <v>785</v>
      </c>
      <c r="C549" t="str">
        <f t="shared" si="145"/>
        <v>りょかん</v>
      </c>
      <c r="D549" t="str">
        <f t="shared" si="146"/>
        <v>（旅館）</v>
      </c>
      <c r="E549" t="str">
        <f t="shared" si="147"/>
        <v xml:space="preserve"> 〔名〕 旅馆，旅店</v>
      </c>
    </row>
    <row r="550" spans="1:5" x14ac:dyDescent="0.15">
      <c r="A550">
        <f>ROW()</f>
        <v>550</v>
      </c>
      <c r="B550" s="27" t="s">
        <v>786</v>
      </c>
      <c r="C550" t="str">
        <f t="shared" si="145"/>
        <v>べっそう</v>
      </c>
      <c r="D550" t="str">
        <f t="shared" si="146"/>
        <v>（別荘）</v>
      </c>
      <c r="E550" t="str">
        <f t="shared" si="147"/>
        <v xml:space="preserve"> 〔名〕 别墅</v>
      </c>
    </row>
    <row r="551" spans="1:5" x14ac:dyDescent="0.15">
      <c r="A551">
        <f>ROW()</f>
        <v>551</v>
      </c>
      <c r="B551" s="27" t="s">
        <v>1301</v>
      </c>
      <c r="C551" t="str">
        <f t="shared" si="145"/>
        <v>よせぎざいく</v>
      </c>
      <c r="D551" t="str">
        <f t="shared" si="146"/>
        <v>（寄木細工）</v>
      </c>
      <c r="E551" t="str">
        <f t="shared" si="147"/>
        <v xml:space="preserve"> 〔名〕 木片儿拼花工艺品</v>
      </c>
    </row>
    <row r="552" spans="1:5" x14ac:dyDescent="0.15">
      <c r="A552">
        <f>ROW()</f>
        <v>552</v>
      </c>
      <c r="B552" s="27" t="s">
        <v>787</v>
      </c>
      <c r="C552" t="str">
        <f t="shared" si="145"/>
        <v>もよう</v>
      </c>
      <c r="D552" t="str">
        <f t="shared" si="146"/>
        <v>（模様）</v>
      </c>
      <c r="E552" t="str">
        <f t="shared" si="147"/>
        <v xml:space="preserve"> 〔名〕 花纹，纹案</v>
      </c>
    </row>
    <row r="553" spans="1:5" x14ac:dyDescent="0.15">
      <c r="A553">
        <f>ROW()</f>
        <v>553</v>
      </c>
      <c r="B553" s="27" t="s">
        <v>788</v>
      </c>
      <c r="C553" t="str">
        <f t="shared" si="145"/>
        <v>がいこく</v>
      </c>
      <c r="D553" t="str">
        <f t="shared" si="146"/>
        <v>（外国）</v>
      </c>
      <c r="E553" t="str">
        <f t="shared" si="147"/>
        <v xml:space="preserve"> 〔名〕 外国</v>
      </c>
    </row>
    <row r="554" spans="1:5" x14ac:dyDescent="0.15">
      <c r="A554">
        <f>ROW()</f>
        <v>554</v>
      </c>
      <c r="B554" s="27" t="s">
        <v>789</v>
      </c>
      <c r="C554" t="str">
        <f t="shared" si="145"/>
        <v>かいぎ</v>
      </c>
      <c r="D554" t="str">
        <f t="shared" si="146"/>
        <v>（会議）</v>
      </c>
      <c r="E554" t="str">
        <f t="shared" si="147"/>
        <v xml:space="preserve"> 〔名〕 会议</v>
      </c>
    </row>
    <row r="555" spans="1:5" x14ac:dyDescent="0.15">
      <c r="A555">
        <f>ROW()</f>
        <v>555</v>
      </c>
      <c r="B555" s="27" t="s">
        <v>790</v>
      </c>
      <c r="C555" t="str">
        <f>LEFT(B555,FIND(" ",B555)-1)</f>
        <v>あし（脚）</v>
      </c>
      <c r="E555" t="str">
        <f>RIGHT(B555,LEN(B555)-FIND(" ",B555))</f>
        <v>〔名〕 腿</v>
      </c>
    </row>
    <row r="556" spans="1:5" x14ac:dyDescent="0.15">
      <c r="A556">
        <f>ROW()</f>
        <v>556</v>
      </c>
      <c r="B556" s="27" t="s">
        <v>791</v>
      </c>
      <c r="C556" t="str">
        <f>LEFT(B556,FIND(" ",B556)-1)</f>
        <v>ぼく</v>
      </c>
      <c r="E556" t="str">
        <f>RIGHT(B556,LEN(B556)-FIND(" ",B556))</f>
        <v>〔代〕 我（男性自称）</v>
      </c>
    </row>
    <row r="557" spans="1:5" x14ac:dyDescent="0.15">
      <c r="A557">
        <f>ROW()</f>
        <v>557</v>
      </c>
      <c r="B557" s="27" t="s">
        <v>792</v>
      </c>
      <c r="C557" t="str">
        <f t="shared" si="145"/>
        <v>わかります</v>
      </c>
      <c r="D557" t="str">
        <f t="shared" si="146"/>
        <v>（分かります）</v>
      </c>
      <c r="E557" t="str">
        <f t="shared" si="147"/>
        <v xml:space="preserve"> 〔动1〕 懂，明白</v>
      </c>
    </row>
    <row r="558" spans="1:5" x14ac:dyDescent="0.15">
      <c r="A558">
        <f>ROW()</f>
        <v>558</v>
      </c>
      <c r="B558" s="27" t="s">
        <v>793</v>
      </c>
      <c r="C558" t="str">
        <f t="shared" si="145"/>
        <v>まよいます</v>
      </c>
      <c r="D558" t="str">
        <f t="shared" si="146"/>
        <v>（迷います）</v>
      </c>
      <c r="E558" t="str">
        <f t="shared" si="147"/>
        <v xml:space="preserve"> 〔动1〕 犹豫，难以决定</v>
      </c>
    </row>
    <row r="559" spans="1:5" x14ac:dyDescent="0.15">
      <c r="A559">
        <f>ROW()</f>
        <v>559</v>
      </c>
      <c r="B559" s="27" t="s">
        <v>794</v>
      </c>
      <c r="C559" t="str">
        <f t="shared" ref="C559" si="152">LEFT(B559,FIND("〔",B559)-1)</f>
        <v xml:space="preserve">できます </v>
      </c>
      <c r="E559" t="str">
        <f t="shared" ref="E559" si="153">RIGHT(B559,LEN(B559)-FIND("〔",B559)+1)</f>
        <v>〔动2〕 会；能；完成</v>
      </c>
    </row>
    <row r="560" spans="1:5" x14ac:dyDescent="0.15">
      <c r="A560">
        <f>ROW()</f>
        <v>560</v>
      </c>
      <c r="B560" s="27" t="s">
        <v>795</v>
      </c>
      <c r="C560" t="str">
        <f t="shared" si="145"/>
        <v>しめます</v>
      </c>
      <c r="D560" t="str">
        <f t="shared" si="146"/>
        <v>（閉めます）</v>
      </c>
      <c r="E560" t="str">
        <f t="shared" si="147"/>
        <v xml:space="preserve"> 〔动2〕 关闭，关门</v>
      </c>
    </row>
    <row r="561" spans="1:5" x14ac:dyDescent="0.15">
      <c r="A561">
        <f>ROW()</f>
        <v>561</v>
      </c>
      <c r="B561" s="27" t="s">
        <v>796</v>
      </c>
      <c r="C561" t="str">
        <f t="shared" si="145"/>
        <v>つかれます</v>
      </c>
      <c r="D561" t="str">
        <f t="shared" si="146"/>
        <v>（疲れます）</v>
      </c>
      <c r="E561" t="str">
        <f t="shared" si="147"/>
        <v xml:space="preserve"> 〔动2〕 疲倦，疲惫</v>
      </c>
    </row>
    <row r="562" spans="1:5" x14ac:dyDescent="0.15">
      <c r="A562">
        <f>ROW()</f>
        <v>562</v>
      </c>
      <c r="B562" s="27" t="s">
        <v>797</v>
      </c>
      <c r="C562" t="str">
        <f t="shared" si="145"/>
        <v>さんぽします</v>
      </c>
      <c r="D562" t="str">
        <f t="shared" si="146"/>
        <v>（散歩～）</v>
      </c>
      <c r="E562" t="str">
        <f t="shared" si="147"/>
        <v xml:space="preserve"> 〔动3〕 散步</v>
      </c>
    </row>
    <row r="563" spans="1:5" x14ac:dyDescent="0.15">
      <c r="A563">
        <f>ROW()</f>
        <v>563</v>
      </c>
      <c r="B563" s="27" t="s">
        <v>798</v>
      </c>
      <c r="C563" t="str">
        <f t="shared" si="145"/>
        <v>こわい</v>
      </c>
      <c r="D563" t="str">
        <f t="shared" si="146"/>
        <v>（怖い）</v>
      </c>
      <c r="E563" t="str">
        <f t="shared" si="147"/>
        <v xml:space="preserve"> 〔形1〕 害怕，恐怖</v>
      </c>
    </row>
    <row r="564" spans="1:5" x14ac:dyDescent="0.15">
      <c r="A564">
        <f>ROW()</f>
        <v>564</v>
      </c>
      <c r="B564" s="27" t="s">
        <v>799</v>
      </c>
      <c r="C564" t="str">
        <f t="shared" si="145"/>
        <v>あかい</v>
      </c>
      <c r="D564" t="str">
        <f t="shared" si="146"/>
        <v>（赤い）</v>
      </c>
      <c r="E564" t="str">
        <f t="shared" si="147"/>
        <v xml:space="preserve"> 〔形1〕 红</v>
      </c>
    </row>
    <row r="565" spans="1:5" x14ac:dyDescent="0.15">
      <c r="A565">
        <f>ROW()</f>
        <v>565</v>
      </c>
      <c r="B565" s="27" t="s">
        <v>800</v>
      </c>
      <c r="C565" t="str">
        <f t="shared" si="145"/>
        <v>いたい</v>
      </c>
      <c r="D565" t="str">
        <f t="shared" si="146"/>
        <v>（痛い）</v>
      </c>
      <c r="E565" t="str">
        <f t="shared" si="147"/>
        <v xml:space="preserve"> 〔形1〕 疼，疼痛</v>
      </c>
    </row>
    <row r="566" spans="1:5" x14ac:dyDescent="0.15">
      <c r="A566">
        <f>ROW()</f>
        <v>566</v>
      </c>
      <c r="B566" s="27" t="s">
        <v>801</v>
      </c>
      <c r="C566" t="str">
        <f t="shared" si="145"/>
        <v>じょうず</v>
      </c>
      <c r="D566" t="str">
        <f t="shared" si="146"/>
        <v>（上手）</v>
      </c>
      <c r="E566" t="str">
        <f t="shared" si="147"/>
        <v xml:space="preserve"> 〔形2〕 擅长，高明，水平高</v>
      </c>
    </row>
    <row r="567" spans="1:5" x14ac:dyDescent="0.15">
      <c r="A567">
        <f>ROW()</f>
        <v>567</v>
      </c>
      <c r="B567" s="27" t="s">
        <v>802</v>
      </c>
      <c r="C567" t="str">
        <f t="shared" si="145"/>
        <v>へた</v>
      </c>
      <c r="D567" t="str">
        <f t="shared" si="146"/>
        <v>（下手）</v>
      </c>
      <c r="E567" t="str">
        <f t="shared" si="147"/>
        <v xml:space="preserve"> 〔形2〕 不高明，水平低</v>
      </c>
    </row>
    <row r="568" spans="1:5" x14ac:dyDescent="0.15">
      <c r="A568">
        <f>ROW()</f>
        <v>568</v>
      </c>
      <c r="B568" s="27" t="s">
        <v>803</v>
      </c>
      <c r="C568" t="str">
        <f t="shared" si="145"/>
        <v>にがて</v>
      </c>
      <c r="D568" t="str">
        <f t="shared" si="146"/>
        <v>（苦手）</v>
      </c>
      <c r="E568" t="str">
        <f t="shared" si="147"/>
        <v xml:space="preserve"> 〔形2〕 不擅长，不善于</v>
      </c>
    </row>
    <row r="569" spans="1:5" x14ac:dyDescent="0.15">
      <c r="A569">
        <f>ROW()</f>
        <v>569</v>
      </c>
      <c r="B569" s="27" t="s">
        <v>804</v>
      </c>
      <c r="C569" t="str">
        <f t="shared" si="145"/>
        <v>ときどき</v>
      </c>
      <c r="D569" t="str">
        <f t="shared" si="146"/>
        <v>（時々）</v>
      </c>
      <c r="E569" t="str">
        <f t="shared" si="147"/>
        <v xml:space="preserve"> 〔副〕 有时，时不时</v>
      </c>
    </row>
    <row r="570" spans="1:5" x14ac:dyDescent="0.15">
      <c r="A570">
        <f>ROW()</f>
        <v>570</v>
      </c>
      <c r="B570" s="27" t="s">
        <v>805</v>
      </c>
      <c r="C570" t="str">
        <f t="shared" ref="C570:C575" si="154">LEFT(B570,FIND("〔",B570)-1)</f>
        <v xml:space="preserve">よく </v>
      </c>
      <c r="E570" t="str">
        <f t="shared" ref="E570:E575" si="155">RIGHT(B570,LEN(B570)-FIND("〔",B570)+1)</f>
        <v>〔副〕 经常，常常</v>
      </c>
    </row>
    <row r="571" spans="1:5" x14ac:dyDescent="0.15">
      <c r="A571">
        <f>ROW()</f>
        <v>571</v>
      </c>
      <c r="B571" s="27" t="s">
        <v>806</v>
      </c>
      <c r="C571" t="str">
        <f t="shared" si="154"/>
        <v xml:space="preserve">たまに </v>
      </c>
      <c r="E571" t="str">
        <f t="shared" si="155"/>
        <v>〔副〕 偶尔，很少</v>
      </c>
    </row>
    <row r="572" spans="1:5" x14ac:dyDescent="0.15">
      <c r="A572">
        <f>ROW()</f>
        <v>572</v>
      </c>
      <c r="B572" s="27" t="s">
        <v>807</v>
      </c>
      <c r="C572" t="str">
        <f t="shared" si="154"/>
        <v xml:space="preserve">また </v>
      </c>
      <c r="E572" t="str">
        <f t="shared" si="155"/>
        <v>〔副〕 还，再，又</v>
      </c>
    </row>
    <row r="573" spans="1:5" x14ac:dyDescent="0.15">
      <c r="A573">
        <f>ROW()</f>
        <v>573</v>
      </c>
      <c r="B573" s="27" t="s">
        <v>808</v>
      </c>
      <c r="C573" t="str">
        <f t="shared" si="154"/>
        <v xml:space="preserve">どうして </v>
      </c>
      <c r="E573" t="str">
        <f t="shared" si="155"/>
        <v>〔副〕 为什么</v>
      </c>
    </row>
    <row r="574" spans="1:5" x14ac:dyDescent="0.15">
      <c r="A574">
        <f>ROW()</f>
        <v>574</v>
      </c>
      <c r="B574" s="27" t="s">
        <v>809</v>
      </c>
      <c r="C574" t="str">
        <f t="shared" si="154"/>
        <v xml:space="preserve">だから∕ですから </v>
      </c>
      <c r="E574" t="str">
        <f t="shared" si="155"/>
        <v>〔连〕 所以，因此</v>
      </c>
    </row>
    <row r="575" spans="1:5" x14ac:dyDescent="0.15">
      <c r="A575">
        <f>ROW()</f>
        <v>575</v>
      </c>
      <c r="B575" s="27" t="s">
        <v>810</v>
      </c>
      <c r="C575" t="str">
        <f t="shared" si="154"/>
        <v xml:space="preserve">うーん </v>
      </c>
      <c r="E575" t="str">
        <f t="shared" si="155"/>
        <v>〔叹〕 嗯……，这个……</v>
      </c>
    </row>
    <row r="576" spans="1:5" x14ac:dyDescent="0.15">
      <c r="A576">
        <f>ROW()</f>
        <v>576</v>
      </c>
      <c r="B576" s="27" t="s">
        <v>811</v>
      </c>
      <c r="C576" t="str">
        <f t="shared" si="145"/>
        <v>けっこうです</v>
      </c>
      <c r="D576" t="str">
        <f t="shared" si="146"/>
        <v>（結構です）</v>
      </c>
      <c r="E576" t="str">
        <f t="shared" si="147"/>
        <v xml:space="preserve"> 不用，不要</v>
      </c>
    </row>
    <row r="577" spans="1:5" x14ac:dyDescent="0.15">
      <c r="A577">
        <f>ROW()</f>
        <v>577</v>
      </c>
      <c r="B577" s="27" t="s">
        <v>812</v>
      </c>
      <c r="C577" t="str">
        <f t="shared" si="145"/>
        <v>きにいります</v>
      </c>
      <c r="D577" t="str">
        <f t="shared" si="146"/>
        <v>（気に入ります）</v>
      </c>
      <c r="E577" t="str">
        <f t="shared" si="147"/>
        <v xml:space="preserve"> 喜欢，中意</v>
      </c>
    </row>
    <row r="578" spans="1:5" x14ac:dyDescent="0.15">
      <c r="A578">
        <f>ROW()</f>
        <v>578</v>
      </c>
      <c r="B578" s="27" t="s">
        <v>813</v>
      </c>
      <c r="C578" t="str">
        <f t="shared" si="145"/>
        <v>きせつ</v>
      </c>
      <c r="D578" t="str">
        <f t="shared" si="146"/>
        <v>（季節）</v>
      </c>
      <c r="E578" t="str">
        <f t="shared" si="147"/>
        <v xml:space="preserve"> 〔名〕 季节</v>
      </c>
    </row>
    <row r="579" spans="1:5" x14ac:dyDescent="0.15">
      <c r="A579">
        <f>ROW()</f>
        <v>579</v>
      </c>
      <c r="B579" s="27" t="s">
        <v>814</v>
      </c>
      <c r="C579" t="str">
        <f t="shared" si="145"/>
        <v>ふゆ</v>
      </c>
      <c r="D579" t="str">
        <f t="shared" si="146"/>
        <v>（冬）</v>
      </c>
      <c r="E579" t="str">
        <f t="shared" si="147"/>
        <v xml:space="preserve"> 〔名〕 冬天，冬季</v>
      </c>
    </row>
    <row r="580" spans="1:5" x14ac:dyDescent="0.15">
      <c r="A580">
        <f>ROW()</f>
        <v>580</v>
      </c>
      <c r="B580" s="27" t="s">
        <v>815</v>
      </c>
      <c r="C580" t="str">
        <f t="shared" si="145"/>
        <v>はる</v>
      </c>
      <c r="D580" t="str">
        <f t="shared" si="146"/>
        <v>（春）</v>
      </c>
      <c r="E580" t="str">
        <f t="shared" si="147"/>
        <v xml:space="preserve"> 〔名〕 春天，春季</v>
      </c>
    </row>
    <row r="581" spans="1:5" x14ac:dyDescent="0.15">
      <c r="A581">
        <f>ROW()</f>
        <v>581</v>
      </c>
      <c r="B581" s="27" t="s">
        <v>816</v>
      </c>
      <c r="C581" t="str">
        <f t="shared" si="145"/>
        <v>にほんりょうり</v>
      </c>
      <c r="D581" t="str">
        <f t="shared" si="146"/>
        <v>（日本料理）</v>
      </c>
      <c r="E581" t="str">
        <f t="shared" si="147"/>
        <v xml:space="preserve"> 〔名〕 日式饭菜</v>
      </c>
    </row>
    <row r="582" spans="1:5" x14ac:dyDescent="0.15">
      <c r="A582">
        <f>ROW()</f>
        <v>582</v>
      </c>
      <c r="B582" s="27" t="s">
        <v>817</v>
      </c>
      <c r="C582" t="str">
        <f t="shared" si="145"/>
        <v>すし</v>
      </c>
      <c r="D582" t="str">
        <f t="shared" si="146"/>
        <v>（寿司）</v>
      </c>
      <c r="E582" t="str">
        <f t="shared" si="147"/>
        <v xml:space="preserve"> 〔名〕 寿司</v>
      </c>
    </row>
    <row r="583" spans="1:5" x14ac:dyDescent="0.15">
      <c r="A583">
        <f>ROW()</f>
        <v>583</v>
      </c>
      <c r="B583" s="27" t="s">
        <v>818</v>
      </c>
      <c r="C583" t="str">
        <f t="shared" ref="C583:C585" si="156">LEFT(B583,FIND("〔",B583)-1)</f>
        <v xml:space="preserve">ナシ </v>
      </c>
      <c r="E583" t="str">
        <f t="shared" ref="E583:E585" si="157">RIGHT(B583,LEN(B583)-FIND("〔",B583)+1)</f>
        <v>〔名〕 梨</v>
      </c>
    </row>
    <row r="584" spans="1:5" x14ac:dyDescent="0.15">
      <c r="A584">
        <f>ROW()</f>
        <v>584</v>
      </c>
      <c r="B584" s="27" t="s">
        <v>819</v>
      </c>
      <c r="C584" t="str">
        <f t="shared" si="156"/>
        <v xml:space="preserve">バナナ </v>
      </c>
      <c r="E584" t="str">
        <f t="shared" si="157"/>
        <v>〔名〕 香蕉</v>
      </c>
    </row>
    <row r="585" spans="1:5" x14ac:dyDescent="0.15">
      <c r="A585">
        <f>ROW()</f>
        <v>585</v>
      </c>
      <c r="B585" s="27" t="s">
        <v>820</v>
      </c>
      <c r="C585" t="str">
        <f t="shared" si="156"/>
        <v xml:space="preserve">ミカン </v>
      </c>
      <c r="E585" t="str">
        <f t="shared" si="157"/>
        <v>〔名〕 橘子</v>
      </c>
    </row>
    <row r="586" spans="1:5" x14ac:dyDescent="0.15">
      <c r="A586">
        <f>ROW()</f>
        <v>586</v>
      </c>
      <c r="B586" s="27" t="s">
        <v>821</v>
      </c>
      <c r="C586" t="str">
        <f t="shared" si="145"/>
        <v>しょうちゅう</v>
      </c>
      <c r="D586" t="str">
        <f t="shared" si="146"/>
        <v>（焼酎）</v>
      </c>
      <c r="E586" t="str">
        <f t="shared" si="147"/>
        <v xml:space="preserve"> 〔名〕 烧酒</v>
      </c>
    </row>
    <row r="587" spans="1:5" x14ac:dyDescent="0.15">
      <c r="A587">
        <f>ROW()</f>
        <v>587</v>
      </c>
      <c r="B587" s="27" t="s">
        <v>822</v>
      </c>
      <c r="C587" t="str">
        <f t="shared" si="145"/>
        <v>にほんしゅ</v>
      </c>
      <c r="D587" t="str">
        <f t="shared" si="146"/>
        <v>（日本酒）</v>
      </c>
      <c r="E587" t="str">
        <f t="shared" si="147"/>
        <v xml:space="preserve"> 〔名〕 日本酒</v>
      </c>
    </row>
    <row r="588" spans="1:5" x14ac:dyDescent="0.15">
      <c r="A588">
        <f>ROW()</f>
        <v>588</v>
      </c>
      <c r="B588" s="27" t="s">
        <v>823</v>
      </c>
      <c r="C588" t="str">
        <f t="shared" si="145"/>
        <v>こうちゃ</v>
      </c>
      <c r="D588" t="str">
        <f t="shared" si="146"/>
        <v>（紅茶）</v>
      </c>
      <c r="E588" t="str">
        <f t="shared" si="147"/>
        <v xml:space="preserve"> 〔名〕 红茶</v>
      </c>
    </row>
    <row r="589" spans="1:5" x14ac:dyDescent="0.15">
      <c r="A589">
        <f>ROW()</f>
        <v>589</v>
      </c>
      <c r="B589" s="27" t="s">
        <v>824</v>
      </c>
      <c r="C589" t="str">
        <f t="shared" si="145"/>
        <v>ウーロンちゃ</v>
      </c>
      <c r="D589" t="str">
        <f t="shared" si="146"/>
        <v>（～茶）</v>
      </c>
      <c r="E589" t="str">
        <f t="shared" si="147"/>
        <v xml:space="preserve"> 〔名〕 乌龙茶</v>
      </c>
    </row>
    <row r="590" spans="1:5" x14ac:dyDescent="0.15">
      <c r="A590">
        <f>ROW()</f>
        <v>590</v>
      </c>
      <c r="B590" s="27" t="s">
        <v>825</v>
      </c>
      <c r="C590" t="str">
        <f t="shared" si="145"/>
        <v>ジャスミンちゃ</v>
      </c>
      <c r="D590" t="str">
        <f t="shared" si="146"/>
        <v>（～茶）</v>
      </c>
      <c r="E590" t="str">
        <f t="shared" si="147"/>
        <v xml:space="preserve"> 〔名〕 茉莉花茶</v>
      </c>
    </row>
    <row r="591" spans="1:5" x14ac:dyDescent="0.15">
      <c r="A591">
        <f>ROW()</f>
        <v>591</v>
      </c>
      <c r="B591" s="27" t="s">
        <v>826</v>
      </c>
      <c r="C591" t="str">
        <f t="shared" si="145"/>
        <v>りょくちゃ</v>
      </c>
      <c r="D591" t="str">
        <f t="shared" si="146"/>
        <v>（緑茶）</v>
      </c>
      <c r="E591" t="str">
        <f t="shared" si="147"/>
        <v xml:space="preserve"> 〔名〕 绿茶</v>
      </c>
    </row>
    <row r="592" spans="1:5" x14ac:dyDescent="0.15">
      <c r="A592">
        <f>ROW()</f>
        <v>592</v>
      </c>
      <c r="B592" s="27" t="s">
        <v>827</v>
      </c>
      <c r="C592" t="str">
        <f t="shared" ref="C592" si="158">LEFT(B592,FIND("〔",B592)-1)</f>
        <v xml:space="preserve">ジュース </v>
      </c>
      <c r="E592" t="str">
        <f t="shared" ref="E592" si="159">RIGHT(B592,LEN(B592)-FIND("〔",B592)+1)</f>
        <v>〔名〕 果汁</v>
      </c>
    </row>
    <row r="593" spans="1:5" x14ac:dyDescent="0.15">
      <c r="A593">
        <f>ROW()</f>
        <v>593</v>
      </c>
      <c r="B593" s="27" t="s">
        <v>828</v>
      </c>
      <c r="C593" t="str">
        <f t="shared" si="145"/>
        <v>にんき</v>
      </c>
      <c r="D593" t="str">
        <f t="shared" si="146"/>
        <v>（人気）</v>
      </c>
      <c r="E593" t="str">
        <f t="shared" si="147"/>
        <v xml:space="preserve"> 〔名〕 声望，受欢迎</v>
      </c>
    </row>
    <row r="594" spans="1:5" x14ac:dyDescent="0.15">
      <c r="A594">
        <f>ROW()</f>
        <v>594</v>
      </c>
      <c r="B594" s="27" t="s">
        <v>829</v>
      </c>
      <c r="C594" t="str">
        <f t="shared" ref="C594:C649" si="160">LEFT(B594,FIND("（",B594)-1)</f>
        <v>せき</v>
      </c>
      <c r="D594" t="str">
        <f t="shared" ref="D594:D649" si="161">MID(B594,FIND("（",B594),FIND("）",B594)-FIND("（",B594)+1)</f>
        <v>（席）</v>
      </c>
      <c r="E594" t="str">
        <f t="shared" ref="E594:E649" si="162">RIGHT(B594,LEN(B594)-FIND("）",B594))</f>
        <v xml:space="preserve"> 〔名〕 座位，席位</v>
      </c>
    </row>
    <row r="595" spans="1:5" x14ac:dyDescent="0.15">
      <c r="A595">
        <f>ROW()</f>
        <v>595</v>
      </c>
      <c r="B595" s="27" t="s">
        <v>830</v>
      </c>
      <c r="C595" t="str">
        <f t="shared" ref="C595" si="163">LEFT(B595,FIND("〔",B595)-1)</f>
        <v xml:space="preserve">クラス </v>
      </c>
      <c r="E595" t="str">
        <f t="shared" ref="E595" si="164">RIGHT(B595,LEN(B595)-FIND("〔",B595)+1)</f>
        <v>〔名〕 班级</v>
      </c>
    </row>
    <row r="596" spans="1:5" x14ac:dyDescent="0.15">
      <c r="A596">
        <f>ROW()</f>
        <v>596</v>
      </c>
      <c r="B596" s="27" t="s">
        <v>831</v>
      </c>
      <c r="C596" t="str">
        <f t="shared" si="160"/>
        <v>しゅるい</v>
      </c>
      <c r="D596" t="str">
        <f t="shared" si="161"/>
        <v>（種類）</v>
      </c>
      <c r="E596" t="str">
        <f t="shared" si="162"/>
        <v xml:space="preserve"> 〔名〕 种类</v>
      </c>
    </row>
    <row r="597" spans="1:5" x14ac:dyDescent="0.15">
      <c r="A597">
        <f>ROW()</f>
        <v>597</v>
      </c>
      <c r="B597" s="27" t="s">
        <v>832</v>
      </c>
      <c r="C597" t="str">
        <f t="shared" si="160"/>
        <v>せ</v>
      </c>
      <c r="D597" t="str">
        <f t="shared" si="161"/>
        <v>（背）</v>
      </c>
      <c r="E597" t="str">
        <f t="shared" si="162"/>
        <v xml:space="preserve"> 〔名〕 个子</v>
      </c>
    </row>
    <row r="598" spans="1:5" x14ac:dyDescent="0.15">
      <c r="A598">
        <f>ROW()</f>
        <v>598</v>
      </c>
      <c r="B598" s="27" t="s">
        <v>833</v>
      </c>
      <c r="C598" t="str">
        <f t="shared" si="160"/>
        <v>あに</v>
      </c>
      <c r="D598" t="str">
        <f t="shared" si="161"/>
        <v>（兄）</v>
      </c>
      <c r="E598" t="str">
        <f t="shared" si="162"/>
        <v xml:space="preserve"> 〔名〕 哥哥，兄长</v>
      </c>
    </row>
    <row r="599" spans="1:5" x14ac:dyDescent="0.15">
      <c r="A599">
        <f>ROW()</f>
        <v>599</v>
      </c>
      <c r="B599" s="27" t="s">
        <v>834</v>
      </c>
      <c r="C599" t="str">
        <f t="shared" si="160"/>
        <v>さいきん</v>
      </c>
      <c r="D599" t="str">
        <f t="shared" si="161"/>
        <v>（最近）</v>
      </c>
      <c r="E599" t="str">
        <f t="shared" si="162"/>
        <v xml:space="preserve"> 〔名〕 最近，近来</v>
      </c>
    </row>
    <row r="600" spans="1:5" x14ac:dyDescent="0.15">
      <c r="A600">
        <f>ROW()</f>
        <v>600</v>
      </c>
      <c r="B600" s="27" t="s">
        <v>1293</v>
      </c>
      <c r="C600" t="str">
        <f t="shared" si="160"/>
        <v>ふります</v>
      </c>
      <c r="D600" t="str">
        <f t="shared" si="161"/>
        <v>（降ります）</v>
      </c>
      <c r="E600" t="str">
        <f t="shared" si="162"/>
        <v xml:space="preserve"> 〔动1〕 下（雨，雪），降（雨，雪）</v>
      </c>
    </row>
    <row r="601" spans="1:5" x14ac:dyDescent="0.15">
      <c r="A601">
        <f>ROW()</f>
        <v>601</v>
      </c>
      <c r="B601" s="27" t="s">
        <v>835</v>
      </c>
      <c r="C601" t="str">
        <f t="shared" si="160"/>
        <v>わかい</v>
      </c>
      <c r="D601" t="str">
        <f t="shared" si="161"/>
        <v>（若い）</v>
      </c>
      <c r="E601" t="str">
        <f t="shared" si="162"/>
        <v xml:space="preserve"> 〔形1〕 年轻</v>
      </c>
    </row>
    <row r="602" spans="1:5" x14ac:dyDescent="0.15">
      <c r="A602">
        <f>ROW()</f>
        <v>602</v>
      </c>
      <c r="B602" s="27" t="s">
        <v>836</v>
      </c>
      <c r="C602" t="str">
        <f t="shared" si="160"/>
        <v>あたたかい</v>
      </c>
      <c r="D602" t="str">
        <f t="shared" si="161"/>
        <v>（暖かい）</v>
      </c>
      <c r="E602" t="str">
        <f t="shared" si="162"/>
        <v xml:space="preserve"> 〔形1〕 暖和，温暖</v>
      </c>
    </row>
    <row r="603" spans="1:5" x14ac:dyDescent="0.15">
      <c r="A603">
        <f>ROW()</f>
        <v>603</v>
      </c>
      <c r="B603" s="27" t="s">
        <v>837</v>
      </c>
      <c r="C603" t="str">
        <f t="shared" si="160"/>
        <v>すずしい</v>
      </c>
      <c r="D603" t="str">
        <f t="shared" si="161"/>
        <v>（涼しい）</v>
      </c>
      <c r="E603" t="str">
        <f t="shared" si="162"/>
        <v xml:space="preserve"> 〔形1〕 凉爽</v>
      </c>
    </row>
    <row r="604" spans="1:5" x14ac:dyDescent="0.15">
      <c r="A604">
        <f>ROW()</f>
        <v>604</v>
      </c>
      <c r="B604" s="27" t="s">
        <v>838</v>
      </c>
      <c r="C604" t="str">
        <f t="shared" si="160"/>
        <v>はやい</v>
      </c>
      <c r="D604" t="str">
        <f t="shared" si="161"/>
        <v>（速い）</v>
      </c>
      <c r="E604" t="str">
        <f t="shared" si="162"/>
        <v xml:space="preserve"> 〔形1〕 快</v>
      </c>
    </row>
    <row r="605" spans="1:5" x14ac:dyDescent="0.15">
      <c r="A605">
        <f>ROW()</f>
        <v>605</v>
      </c>
      <c r="B605" s="27" t="s">
        <v>839</v>
      </c>
      <c r="C605" t="str">
        <f t="shared" si="160"/>
        <v>だいすき</v>
      </c>
      <c r="D605" t="str">
        <f t="shared" si="161"/>
        <v>（大好き）</v>
      </c>
      <c r="E605" t="str">
        <f t="shared" si="162"/>
        <v xml:space="preserve"> 〔形2〕 非常喜欢</v>
      </c>
    </row>
    <row r="606" spans="1:5" x14ac:dyDescent="0.15">
      <c r="A606">
        <f>ROW()</f>
        <v>606</v>
      </c>
      <c r="B606" s="27" t="s">
        <v>840</v>
      </c>
      <c r="C606" t="str">
        <f t="shared" ref="C606:C609" si="165">LEFT(B606,FIND("〔",B606)-1)</f>
        <v xml:space="preserve">いちばん </v>
      </c>
      <c r="E606" t="str">
        <f t="shared" ref="E606:E609" si="166">RIGHT(B606,LEN(B606)-FIND("〔",B606)+1)</f>
        <v>〔副〕 最，第一</v>
      </c>
    </row>
    <row r="607" spans="1:5" x14ac:dyDescent="0.15">
      <c r="A607">
        <f>ROW()</f>
        <v>607</v>
      </c>
      <c r="B607" s="27" t="s">
        <v>841</v>
      </c>
      <c r="C607" t="str">
        <f t="shared" si="165"/>
        <v xml:space="preserve">ずっと </v>
      </c>
      <c r="E607" t="str">
        <f t="shared" si="166"/>
        <v>〔副〕 ～得多</v>
      </c>
    </row>
    <row r="608" spans="1:5" x14ac:dyDescent="0.15">
      <c r="A608">
        <f>ROW()</f>
        <v>608</v>
      </c>
      <c r="B608" s="27" t="s">
        <v>842</v>
      </c>
      <c r="C608" t="str">
        <f t="shared" si="165"/>
        <v xml:space="preserve">やはり∕やっぱり </v>
      </c>
      <c r="E608" t="str">
        <f t="shared" si="166"/>
        <v>〔副〕 仍然，还是</v>
      </c>
    </row>
    <row r="609" spans="1:5" x14ac:dyDescent="0.15">
      <c r="A609">
        <f>ROW()</f>
        <v>609</v>
      </c>
      <c r="B609" s="27" t="s">
        <v>843</v>
      </c>
      <c r="C609" t="str">
        <f t="shared" si="165"/>
        <v xml:space="preserve">エベレスト </v>
      </c>
      <c r="E609" t="str">
        <f t="shared" si="166"/>
        <v>〔专〕 珠穆朗玛峰</v>
      </c>
    </row>
    <row r="610" spans="1:5" x14ac:dyDescent="0.15">
      <c r="A610">
        <f>ROW()</f>
        <v>610</v>
      </c>
      <c r="B610" s="27" t="s">
        <v>844</v>
      </c>
      <c r="C610" t="str">
        <f t="shared" si="160"/>
        <v>にんきがあります</v>
      </c>
      <c r="D610" t="str">
        <f t="shared" si="161"/>
        <v>（人気があります）</v>
      </c>
      <c r="E610" t="str">
        <f t="shared" si="162"/>
        <v xml:space="preserve"> 受欢迎</v>
      </c>
    </row>
    <row r="611" spans="1:5" x14ac:dyDescent="0.15">
      <c r="A611">
        <f>ROW()</f>
        <v>611</v>
      </c>
      <c r="B611" s="27" t="s">
        <v>845</v>
      </c>
      <c r="C611" t="str">
        <f t="shared" si="160"/>
        <v>にもつ</v>
      </c>
      <c r="D611" t="str">
        <f t="shared" si="161"/>
        <v>（荷物）</v>
      </c>
      <c r="E611" t="str">
        <f t="shared" si="162"/>
        <v xml:space="preserve"> 〔名〕 包裹</v>
      </c>
    </row>
    <row r="612" spans="1:5" x14ac:dyDescent="0.15">
      <c r="A612">
        <f>ROW()</f>
        <v>612</v>
      </c>
      <c r="B612" s="27" t="s">
        <v>846</v>
      </c>
      <c r="C612" t="str">
        <f t="shared" ref="C612" si="167">LEFT(B612,FIND("〔",B612)-1)</f>
        <v xml:space="preserve">はがき </v>
      </c>
      <c r="E612" t="str">
        <f t="shared" ref="E612" si="168">RIGHT(B612,LEN(B612)-FIND("〔",B612)+1)</f>
        <v>〔名〕 明信片</v>
      </c>
    </row>
    <row r="613" spans="1:5" x14ac:dyDescent="0.15">
      <c r="A613">
        <f>ROW()</f>
        <v>613</v>
      </c>
      <c r="B613" s="27" t="s">
        <v>847</v>
      </c>
      <c r="C613" t="str">
        <f t="shared" si="160"/>
        <v>きって</v>
      </c>
      <c r="D613" t="str">
        <f t="shared" si="161"/>
        <v>（切手）</v>
      </c>
      <c r="E613" t="str">
        <f t="shared" si="162"/>
        <v xml:space="preserve"> 〔名〕 邮票</v>
      </c>
    </row>
    <row r="614" spans="1:5" x14ac:dyDescent="0.15">
      <c r="A614">
        <f>ROW()</f>
        <v>614</v>
      </c>
      <c r="B614" s="27" t="s">
        <v>848</v>
      </c>
      <c r="C614" t="str">
        <f t="shared" si="160"/>
        <v>ひきだし</v>
      </c>
      <c r="D614" t="str">
        <f t="shared" si="161"/>
        <v>（引き出し）</v>
      </c>
      <c r="E614" t="str">
        <f t="shared" si="162"/>
        <v xml:space="preserve"> 〔名〕 抽屉</v>
      </c>
    </row>
    <row r="615" spans="1:5" x14ac:dyDescent="0.15">
      <c r="A615">
        <f>ROW()</f>
        <v>615</v>
      </c>
      <c r="B615" s="27" t="s">
        <v>849</v>
      </c>
      <c r="C615" t="str">
        <f t="shared" ref="C615:C616" si="169">LEFT(B615,FIND("〔",B615)-1)</f>
        <v xml:space="preserve">アルバム </v>
      </c>
      <c r="E615" t="str">
        <f t="shared" ref="E615:E616" si="170">RIGHT(B615,LEN(B615)-FIND("〔",B615)+1)</f>
        <v>〔名〕 相册</v>
      </c>
    </row>
    <row r="616" spans="1:5" x14ac:dyDescent="0.15">
      <c r="A616">
        <f>ROW()</f>
        <v>616</v>
      </c>
      <c r="B616" s="27" t="s">
        <v>850</v>
      </c>
      <c r="C616" t="str">
        <f t="shared" si="169"/>
        <v xml:space="preserve">タバコ </v>
      </c>
      <c r="E616" t="str">
        <f t="shared" si="170"/>
        <v>〔名〕 烟，烟草</v>
      </c>
    </row>
    <row r="617" spans="1:5" x14ac:dyDescent="0.15">
      <c r="A617">
        <f>ROW()</f>
        <v>617</v>
      </c>
      <c r="B617" s="27" t="s">
        <v>851</v>
      </c>
      <c r="C617" t="str">
        <f t="shared" si="160"/>
        <v>まんが</v>
      </c>
      <c r="D617" t="str">
        <f t="shared" si="161"/>
        <v>（漫画）</v>
      </c>
      <c r="E617" t="str">
        <f t="shared" si="162"/>
        <v xml:space="preserve"> 〔名〕 漫画</v>
      </c>
    </row>
    <row r="618" spans="1:5" x14ac:dyDescent="0.15">
      <c r="A618">
        <f>ROW()</f>
        <v>618</v>
      </c>
      <c r="B618" s="27" t="s">
        <v>852</v>
      </c>
      <c r="C618" t="str">
        <f t="shared" ref="C618" si="171">LEFT(B618,FIND("〔",B618)-1)</f>
        <v xml:space="preserve">ガレージ </v>
      </c>
      <c r="E618" t="str">
        <f t="shared" ref="E618" si="172">RIGHT(B618,LEN(B618)-FIND("〔",B618)+1)</f>
        <v>〔名〕 车库，汽车房</v>
      </c>
    </row>
    <row r="619" spans="1:5" x14ac:dyDescent="0.15">
      <c r="A619">
        <f>ROW()</f>
        <v>619</v>
      </c>
      <c r="B619" s="27" t="s">
        <v>853</v>
      </c>
      <c r="C619" t="str">
        <f t="shared" si="160"/>
        <v>しゅうり</v>
      </c>
      <c r="D619" t="str">
        <f t="shared" si="161"/>
        <v>（修理）</v>
      </c>
      <c r="E619" t="str">
        <f t="shared" si="162"/>
        <v xml:space="preserve"> 〔名〕 修理</v>
      </c>
    </row>
    <row r="620" spans="1:5" x14ac:dyDescent="0.15">
      <c r="A620">
        <f>ROW()</f>
        <v>620</v>
      </c>
      <c r="B620" s="27" t="s">
        <v>854</v>
      </c>
      <c r="C620" t="str">
        <f t="shared" si="160"/>
        <v>いざかや</v>
      </c>
      <c r="D620" t="str">
        <f t="shared" si="161"/>
        <v>（居酒屋）</v>
      </c>
      <c r="E620" t="str">
        <f t="shared" si="162"/>
        <v xml:space="preserve"> 〔名〕 酒馆</v>
      </c>
    </row>
    <row r="621" spans="1:5" x14ac:dyDescent="0.15">
      <c r="A621">
        <f>ROW()</f>
        <v>621</v>
      </c>
      <c r="B621" s="27" t="s">
        <v>855</v>
      </c>
      <c r="C621" t="str">
        <f t="shared" si="160"/>
        <v>なまビール</v>
      </c>
      <c r="D621" t="str">
        <f t="shared" si="161"/>
        <v>（生～）</v>
      </c>
      <c r="E621" t="str">
        <f t="shared" si="162"/>
        <v xml:space="preserve"> 〔名〕 生啤</v>
      </c>
    </row>
    <row r="622" spans="1:5" x14ac:dyDescent="0.15">
      <c r="A622">
        <f>ROW()</f>
        <v>622</v>
      </c>
      <c r="B622" s="27" t="s">
        <v>856</v>
      </c>
      <c r="C622" t="str">
        <f t="shared" si="160"/>
        <v>やきとり</v>
      </c>
      <c r="D622" t="str">
        <f t="shared" si="161"/>
        <v>（焼き鳥）</v>
      </c>
      <c r="E622" t="str">
        <f t="shared" si="162"/>
        <v xml:space="preserve"> 〔名〕 烤鸡肉串</v>
      </c>
    </row>
    <row r="623" spans="1:5" x14ac:dyDescent="0.15">
      <c r="A623">
        <f>ROW()</f>
        <v>623</v>
      </c>
      <c r="B623" s="27" t="s">
        <v>857</v>
      </c>
      <c r="C623" t="str">
        <f t="shared" si="160"/>
        <v>からあげ</v>
      </c>
      <c r="D623" t="str">
        <f t="shared" si="161"/>
        <v>（唐揚げ）</v>
      </c>
      <c r="E623" t="str">
        <f t="shared" si="162"/>
        <v xml:space="preserve"> 〔名〕 炸鸡，油炸食品</v>
      </c>
    </row>
    <row r="624" spans="1:5" x14ac:dyDescent="0.15">
      <c r="A624">
        <f>ROW()</f>
        <v>624</v>
      </c>
      <c r="B624" s="27" t="s">
        <v>858</v>
      </c>
      <c r="C624" t="str">
        <f t="shared" si="160"/>
        <v>にくじゃが</v>
      </c>
      <c r="D624" t="str">
        <f t="shared" si="161"/>
        <v>（肉じゃが）</v>
      </c>
      <c r="E624" t="str">
        <f t="shared" si="162"/>
        <v xml:space="preserve"> 〔名〕 土豆炖肉</v>
      </c>
    </row>
    <row r="625" spans="1:5" x14ac:dyDescent="0.15">
      <c r="A625">
        <f>ROW()</f>
        <v>625</v>
      </c>
      <c r="B625" s="27" t="s">
        <v>859</v>
      </c>
      <c r="C625" t="str">
        <f t="shared" ref="C625" si="173">LEFT(B625,FIND("〔",B625)-1)</f>
        <v xml:space="preserve">ボーリング </v>
      </c>
      <c r="E625" t="str">
        <f t="shared" ref="E625" si="174">RIGHT(B625,LEN(B625)-FIND("〔",B625)+1)</f>
        <v>〔名〕 保龄球</v>
      </c>
    </row>
    <row r="626" spans="1:5" x14ac:dyDescent="0.15">
      <c r="A626">
        <f>ROW()</f>
        <v>626</v>
      </c>
      <c r="B626" s="27" t="s">
        <v>860</v>
      </c>
      <c r="C626" t="str">
        <f t="shared" si="160"/>
        <v>かみ</v>
      </c>
      <c r="D626" t="str">
        <f t="shared" si="161"/>
        <v>（髪）</v>
      </c>
      <c r="E626" t="str">
        <f t="shared" si="162"/>
        <v xml:space="preserve"> 〔名〕 头发</v>
      </c>
    </row>
    <row r="627" spans="1:5" x14ac:dyDescent="0.15">
      <c r="A627">
        <f>ROW()</f>
        <v>627</v>
      </c>
      <c r="B627" s="27" t="s">
        <v>861</v>
      </c>
      <c r="C627" t="str">
        <f t="shared" si="160"/>
        <v>ぞう</v>
      </c>
      <c r="D627" t="str">
        <f t="shared" si="161"/>
        <v>（象）</v>
      </c>
      <c r="E627" t="str">
        <f t="shared" si="162"/>
        <v xml:space="preserve"> 〔名〕 象，大象</v>
      </c>
    </row>
    <row r="628" spans="1:5" x14ac:dyDescent="0.15">
      <c r="A628">
        <f>ROW()</f>
        <v>628</v>
      </c>
      <c r="B628" s="27" t="s">
        <v>862</v>
      </c>
      <c r="C628" t="str">
        <f t="shared" si="160"/>
        <v>ひる</v>
      </c>
      <c r="D628" t="str">
        <f t="shared" si="161"/>
        <v>（昼）</v>
      </c>
      <c r="E628" t="str">
        <f t="shared" si="162"/>
        <v xml:space="preserve"> 〔名〕 白天，中午</v>
      </c>
    </row>
    <row r="629" spans="1:5" x14ac:dyDescent="0.15">
      <c r="A629">
        <f>ROW()</f>
        <v>629</v>
      </c>
      <c r="B629" s="27" t="s">
        <v>863</v>
      </c>
      <c r="C629" t="str">
        <f t="shared" ref="C629" si="175">LEFT(B629,FIND("〔",B629)-1)</f>
        <v xml:space="preserve">ほか </v>
      </c>
      <c r="E629" t="str">
        <f t="shared" ref="E629" si="176">RIGHT(B629,LEN(B629)-FIND("〔",B629)+1)</f>
        <v>〔名〕 另外，其他</v>
      </c>
    </row>
    <row r="630" spans="1:5" x14ac:dyDescent="0.15">
      <c r="A630">
        <f>ROW()</f>
        <v>630</v>
      </c>
      <c r="B630" s="27" t="s">
        <v>864</v>
      </c>
      <c r="C630" t="str">
        <f>LEFT(B630,FIND(" ",B630)-1)</f>
        <v>かかります</v>
      </c>
      <c r="E630" t="str">
        <f>RIGHT(B630,LEN(B630)-FIND(" ",B630))</f>
        <v>〔动1〕 花费（时间，金钱）</v>
      </c>
    </row>
    <row r="631" spans="1:5" x14ac:dyDescent="0.15">
      <c r="A631">
        <f>ROW()</f>
        <v>631</v>
      </c>
      <c r="B631" s="27" t="s">
        <v>865</v>
      </c>
      <c r="C631" t="str">
        <f t="shared" si="160"/>
        <v>さきます</v>
      </c>
      <c r="D631" t="str">
        <f t="shared" si="161"/>
        <v>（咲きます）</v>
      </c>
      <c r="E631" t="str">
        <f t="shared" si="162"/>
        <v xml:space="preserve"> 〔动1〕 花开</v>
      </c>
    </row>
    <row r="632" spans="1:5" x14ac:dyDescent="0.15">
      <c r="A632">
        <f>ROW()</f>
        <v>632</v>
      </c>
      <c r="B632" s="27" t="s">
        <v>866</v>
      </c>
      <c r="C632" t="str">
        <f t="shared" si="160"/>
        <v>およぎます</v>
      </c>
      <c r="D632" t="str">
        <f t="shared" si="161"/>
        <v>（泳ぎます）</v>
      </c>
      <c r="E632" t="str">
        <f t="shared" si="162"/>
        <v xml:space="preserve"> 〔动1〕 游泳</v>
      </c>
    </row>
    <row r="633" spans="1:5" x14ac:dyDescent="0.15">
      <c r="A633">
        <f>ROW()</f>
        <v>633</v>
      </c>
      <c r="B633" s="27" t="s">
        <v>867</v>
      </c>
      <c r="C633" t="str">
        <f t="shared" si="160"/>
        <v>あそびます</v>
      </c>
      <c r="D633" t="str">
        <f t="shared" si="161"/>
        <v>（遊びます）</v>
      </c>
      <c r="E633" t="str">
        <f t="shared" si="162"/>
        <v xml:space="preserve"> 〔动1〕 玩，玩耍</v>
      </c>
    </row>
    <row r="634" spans="1:5" x14ac:dyDescent="0.15">
      <c r="A634">
        <f>ROW()</f>
        <v>634</v>
      </c>
      <c r="B634" s="27" t="s">
        <v>868</v>
      </c>
      <c r="C634" t="str">
        <f t="shared" si="160"/>
        <v>すいます</v>
      </c>
      <c r="D634" t="str">
        <f t="shared" si="161"/>
        <v>（吸います）</v>
      </c>
      <c r="E634" t="str">
        <f t="shared" si="162"/>
        <v xml:space="preserve"> 〔动1〕 吸（烟）</v>
      </c>
    </row>
    <row r="635" spans="1:5" x14ac:dyDescent="0.15">
      <c r="A635">
        <f>ROW()</f>
        <v>635</v>
      </c>
      <c r="B635" s="27" t="s">
        <v>869</v>
      </c>
      <c r="C635" t="str">
        <f t="shared" si="160"/>
        <v>きります</v>
      </c>
      <c r="D635" t="str">
        <f t="shared" si="161"/>
        <v>（切ります）</v>
      </c>
      <c r="E635" t="str">
        <f t="shared" si="162"/>
        <v xml:space="preserve"> 〔动1〕 剪，切，割</v>
      </c>
    </row>
    <row r="636" spans="1:5" x14ac:dyDescent="0.15">
      <c r="A636">
        <f>ROW()</f>
        <v>636</v>
      </c>
      <c r="B636" s="27" t="s">
        <v>870</v>
      </c>
      <c r="C636" t="str">
        <f t="shared" ref="C636:C637" si="177">LEFT(B636,FIND("〔",B636)-1)</f>
        <v xml:space="preserve">だいたい  </v>
      </c>
      <c r="E636" t="str">
        <f t="shared" ref="E636:E637" si="178">RIGHT(B636,LEN(B636)-FIND("〔",B636)+1)</f>
        <v>〔副〕 大约，大概，大体</v>
      </c>
    </row>
    <row r="637" spans="1:5" x14ac:dyDescent="0.15">
      <c r="A637">
        <f>ROW()</f>
        <v>637</v>
      </c>
      <c r="B637" s="27" t="s">
        <v>871</v>
      </c>
      <c r="C637" t="str">
        <f t="shared" si="177"/>
        <v xml:space="preserve">とりあえず </v>
      </c>
      <c r="E637" t="str">
        <f t="shared" si="178"/>
        <v>〔副〕 暂且</v>
      </c>
    </row>
    <row r="638" spans="1:5" x14ac:dyDescent="0.15">
      <c r="A638">
        <f>ROW()</f>
        <v>638</v>
      </c>
      <c r="B638" s="27" t="s">
        <v>872</v>
      </c>
      <c r="C638" t="str">
        <f>LEFT(B638,FIND(" ",B638)-1)</f>
        <v>どのぐらい∕どれぐらい</v>
      </c>
      <c r="E638" t="str">
        <f>RIGHT(B638,LEN(B638)-FIND(" ",B638)+1)</f>
        <v xml:space="preserve"> 多久，多少钱</v>
      </c>
    </row>
    <row r="639" spans="1:5" x14ac:dyDescent="0.15">
      <c r="A639">
        <f>ROW()</f>
        <v>639</v>
      </c>
      <c r="B639" s="27" t="s">
        <v>873</v>
      </c>
      <c r="C639" t="str">
        <f t="shared" si="160"/>
        <v>ふなびん</v>
      </c>
      <c r="D639" t="str">
        <f t="shared" si="161"/>
        <v>（船便）</v>
      </c>
      <c r="E639" t="str">
        <f t="shared" si="162"/>
        <v xml:space="preserve"> 〔名〕 海运</v>
      </c>
    </row>
    <row r="640" spans="1:5" x14ac:dyDescent="0.15">
      <c r="A640">
        <f>ROW()</f>
        <v>640</v>
      </c>
      <c r="B640" s="27" t="s">
        <v>874</v>
      </c>
      <c r="C640" t="str">
        <f t="shared" si="160"/>
        <v>しょるい</v>
      </c>
      <c r="D640" t="str">
        <f t="shared" si="161"/>
        <v>（書類）</v>
      </c>
      <c r="E640" t="str">
        <f t="shared" si="162"/>
        <v xml:space="preserve"> 〔名〕 文件，文稿</v>
      </c>
    </row>
    <row r="641" spans="1:5" x14ac:dyDescent="0.15">
      <c r="A641">
        <f>ROW()</f>
        <v>641</v>
      </c>
      <c r="B641" s="27" t="s">
        <v>875</v>
      </c>
      <c r="C641" t="str">
        <f t="shared" si="160"/>
        <v>げんこう</v>
      </c>
      <c r="D641" t="str">
        <f t="shared" si="161"/>
        <v>（原稿）</v>
      </c>
      <c r="E641" t="str">
        <f t="shared" si="162"/>
        <v xml:space="preserve"> 〔名〕 稿子，原稿</v>
      </c>
    </row>
    <row r="642" spans="1:5" x14ac:dyDescent="0.15">
      <c r="A642">
        <f>ROW()</f>
        <v>642</v>
      </c>
      <c r="B642" s="27" t="s">
        <v>876</v>
      </c>
      <c r="C642" t="str">
        <f t="shared" si="160"/>
        <v>きじ</v>
      </c>
      <c r="D642" t="str">
        <f t="shared" si="161"/>
        <v>（記事）</v>
      </c>
      <c r="E642" t="str">
        <f t="shared" si="162"/>
        <v xml:space="preserve"> 〔名〕 报道</v>
      </c>
    </row>
    <row r="643" spans="1:5" x14ac:dyDescent="0.15">
      <c r="A643">
        <f>ROW()</f>
        <v>643</v>
      </c>
      <c r="B643" s="27" t="s">
        <v>877</v>
      </c>
      <c r="C643" t="str">
        <f t="shared" ref="C643" si="179">LEFT(B643,FIND("〔",B643)-1)</f>
        <v xml:space="preserve">メモ </v>
      </c>
      <c r="E643" t="str">
        <f t="shared" ref="E643" si="180">RIGHT(B643,LEN(B643)-FIND("〔",B643)+1)</f>
        <v>〔名〕 记录</v>
      </c>
    </row>
    <row r="644" spans="1:5" x14ac:dyDescent="0.15">
      <c r="A644">
        <f>ROW()</f>
        <v>644</v>
      </c>
      <c r="B644" s="27" t="s">
        <v>878</v>
      </c>
      <c r="C644" t="str">
        <f t="shared" si="160"/>
        <v>えきまえ</v>
      </c>
      <c r="D644" t="str">
        <f t="shared" si="161"/>
        <v>（駅前）</v>
      </c>
      <c r="E644" t="str">
        <f t="shared" si="162"/>
        <v xml:space="preserve"> 〔名〕 车站一带</v>
      </c>
    </row>
    <row r="645" spans="1:5" x14ac:dyDescent="0.15">
      <c r="A645">
        <f>ROW()</f>
        <v>645</v>
      </c>
      <c r="B645" s="27" t="s">
        <v>879</v>
      </c>
      <c r="C645" t="str">
        <f t="shared" si="160"/>
        <v>はし</v>
      </c>
      <c r="D645" t="str">
        <f t="shared" si="161"/>
        <v>（橋）</v>
      </c>
      <c r="E645" t="str">
        <f t="shared" si="162"/>
        <v xml:space="preserve"> 〔名〕 桥，桥梁</v>
      </c>
    </row>
    <row r="646" spans="1:5" x14ac:dyDescent="0.15">
      <c r="A646">
        <f>ROW()</f>
        <v>646</v>
      </c>
      <c r="B646" s="27" t="s">
        <v>880</v>
      </c>
      <c r="C646" t="str">
        <f t="shared" si="160"/>
        <v>かど</v>
      </c>
      <c r="D646" t="str">
        <f t="shared" si="161"/>
        <v>（角）</v>
      </c>
      <c r="E646" t="str">
        <f t="shared" si="162"/>
        <v xml:space="preserve"> 〔名〕 拐角</v>
      </c>
    </row>
    <row r="647" spans="1:5" x14ac:dyDescent="0.15">
      <c r="A647">
        <f>ROW()</f>
        <v>647</v>
      </c>
      <c r="B647" s="27" t="s">
        <v>881</v>
      </c>
      <c r="C647" t="str">
        <f t="shared" si="160"/>
        <v>おうだんほどう</v>
      </c>
      <c r="D647" t="str">
        <f t="shared" si="161"/>
        <v>（横断歩道）</v>
      </c>
      <c r="E647" t="str">
        <f t="shared" si="162"/>
        <v xml:space="preserve"> 〔名〕 人行横道</v>
      </c>
    </row>
    <row r="648" spans="1:5" x14ac:dyDescent="0.15">
      <c r="A648">
        <f>ROW()</f>
        <v>648</v>
      </c>
      <c r="B648" s="27" t="s">
        <v>882</v>
      </c>
      <c r="C648" t="str">
        <f t="shared" si="160"/>
        <v>みぎ</v>
      </c>
      <c r="D648" t="str">
        <f t="shared" si="161"/>
        <v>（右）</v>
      </c>
      <c r="E648" t="str">
        <f t="shared" si="162"/>
        <v xml:space="preserve"> 〔名〕 右，右边</v>
      </c>
    </row>
    <row r="649" spans="1:5" x14ac:dyDescent="0.15">
      <c r="A649">
        <f>ROW()</f>
        <v>649</v>
      </c>
      <c r="B649" s="27" t="s">
        <v>883</v>
      </c>
      <c r="C649" t="str">
        <f t="shared" si="160"/>
        <v>ひだり</v>
      </c>
      <c r="D649" t="str">
        <f t="shared" si="161"/>
        <v>（左）</v>
      </c>
      <c r="E649" t="str">
        <f t="shared" si="162"/>
        <v xml:space="preserve"> 〔名〕 左，左边</v>
      </c>
    </row>
    <row r="650" spans="1:5" x14ac:dyDescent="0.15">
      <c r="A650">
        <f>ROW()</f>
        <v>650</v>
      </c>
      <c r="B650" s="27" t="s">
        <v>884</v>
      </c>
      <c r="C650" t="str">
        <f t="shared" ref="C650:C707" si="181">LEFT(B650,FIND("（",B650)-1)</f>
        <v>こうさてん</v>
      </c>
      <c r="D650" t="str">
        <f t="shared" ref="D650:D707" si="182">MID(B650,FIND("（",B650),FIND("）",B650)-FIND("（",B650)+1)</f>
        <v>（交差点）</v>
      </c>
      <c r="E650" t="str">
        <f t="shared" ref="E650:E707" si="183">RIGHT(B650,LEN(B650)-FIND("）",B650))</f>
        <v xml:space="preserve"> 〔名〕 十字路口</v>
      </c>
    </row>
    <row r="651" spans="1:5" x14ac:dyDescent="0.15">
      <c r="A651">
        <f>ROW()</f>
        <v>651</v>
      </c>
      <c r="B651" s="27" t="s">
        <v>885</v>
      </c>
      <c r="C651" t="str">
        <f t="shared" si="181"/>
        <v>みち</v>
      </c>
      <c r="D651" t="str">
        <f t="shared" si="182"/>
        <v>（道）</v>
      </c>
      <c r="E651" t="str">
        <f t="shared" si="183"/>
        <v xml:space="preserve"> 〔名〕 路，道路</v>
      </c>
    </row>
    <row r="652" spans="1:5" x14ac:dyDescent="0.15">
      <c r="A652">
        <f>ROW()</f>
        <v>652</v>
      </c>
      <c r="B652" s="27" t="s">
        <v>886</v>
      </c>
      <c r="C652" t="str">
        <f t="shared" ref="C652" si="184">LEFT(B652,FIND("〔",B652)-1)</f>
        <v xml:space="preserve">ドア </v>
      </c>
      <c r="E652" t="str">
        <f t="shared" ref="E652" si="185">RIGHT(B652,LEN(B652)-FIND("〔",B652)+1)</f>
        <v>〔名〕 门</v>
      </c>
    </row>
    <row r="653" spans="1:5" x14ac:dyDescent="0.15">
      <c r="A653">
        <f>ROW()</f>
        <v>653</v>
      </c>
      <c r="B653" s="27" t="s">
        <v>887</v>
      </c>
      <c r="C653" t="str">
        <f t="shared" si="181"/>
        <v>でんき</v>
      </c>
      <c r="D653" t="str">
        <f t="shared" si="182"/>
        <v>（電気）</v>
      </c>
      <c r="E653" t="str">
        <f t="shared" si="183"/>
        <v xml:space="preserve"> 〔名〕 电，电力</v>
      </c>
    </row>
    <row r="654" spans="1:5" x14ac:dyDescent="0.15">
      <c r="A654">
        <f>ROW()</f>
        <v>654</v>
      </c>
      <c r="B654" s="27" t="s">
        <v>888</v>
      </c>
      <c r="C654" t="str">
        <f t="shared" si="181"/>
        <v>たいきょくけん</v>
      </c>
      <c r="D654" t="str">
        <f t="shared" si="182"/>
        <v>（太極拳）</v>
      </c>
      <c r="E654" t="str">
        <f t="shared" si="183"/>
        <v xml:space="preserve"> 〔名〕 太极拳</v>
      </c>
    </row>
    <row r="655" spans="1:5" x14ac:dyDescent="0.15">
      <c r="A655">
        <f>ROW()</f>
        <v>655</v>
      </c>
      <c r="B655" s="27" t="s">
        <v>889</v>
      </c>
      <c r="C655" t="str">
        <f t="shared" si="181"/>
        <v>あさごはん</v>
      </c>
      <c r="D655" t="str">
        <f t="shared" si="182"/>
        <v>（朝ご飯）</v>
      </c>
      <c r="E655" t="str">
        <f t="shared" si="183"/>
        <v xml:space="preserve"> 〔名〕 早饭</v>
      </c>
    </row>
    <row r="656" spans="1:5" x14ac:dyDescent="0.15">
      <c r="A656">
        <f>ROW()</f>
        <v>656</v>
      </c>
      <c r="B656" s="27" t="s">
        <v>890</v>
      </c>
      <c r="C656" t="str">
        <f t="shared" si="181"/>
        <v>ばんごはん</v>
      </c>
      <c r="D656" t="str">
        <f t="shared" si="182"/>
        <v>（晩ご飯）</v>
      </c>
      <c r="E656" t="str">
        <f t="shared" si="183"/>
        <v xml:space="preserve"> 〔名〕 晚饭</v>
      </c>
    </row>
    <row r="657" spans="1:5" x14ac:dyDescent="0.15">
      <c r="A657">
        <f>ROW()</f>
        <v>657</v>
      </c>
      <c r="B657" s="27" t="s">
        <v>891</v>
      </c>
      <c r="C657" t="str">
        <f t="shared" ref="C657" si="186">LEFT(B657,FIND("〔",B657)-1)</f>
        <v xml:space="preserve">バーベキュー </v>
      </c>
      <c r="E657" t="str">
        <f t="shared" ref="E657" si="187">RIGHT(B657,LEN(B657)-FIND("〔",B657)+1)</f>
        <v>〔名〕 户外烧烤</v>
      </c>
    </row>
    <row r="658" spans="1:5" x14ac:dyDescent="0.15">
      <c r="A658">
        <f>ROW()</f>
        <v>658</v>
      </c>
      <c r="B658" s="27" t="s">
        <v>892</v>
      </c>
      <c r="C658" t="str">
        <f t="shared" si="181"/>
        <v>とおります</v>
      </c>
      <c r="D658" t="str">
        <f t="shared" si="182"/>
        <v>（通ります）</v>
      </c>
      <c r="E658" t="str">
        <f t="shared" si="183"/>
        <v xml:space="preserve"> 〔动1〕 通过，经过</v>
      </c>
    </row>
    <row r="659" spans="1:5" x14ac:dyDescent="0.15">
      <c r="A659">
        <f>ROW()</f>
        <v>659</v>
      </c>
      <c r="B659" s="27" t="s">
        <v>893</v>
      </c>
      <c r="C659" t="str">
        <f t="shared" si="181"/>
        <v>いそぎます</v>
      </c>
      <c r="D659" t="str">
        <f t="shared" si="182"/>
        <v>（急ぎます）</v>
      </c>
      <c r="E659" t="str">
        <f t="shared" si="183"/>
        <v xml:space="preserve"> 〔动1〕 急，急忙</v>
      </c>
    </row>
    <row r="660" spans="1:5" x14ac:dyDescent="0.15">
      <c r="A660">
        <f>ROW()</f>
        <v>660</v>
      </c>
      <c r="B660" s="27" t="s">
        <v>894</v>
      </c>
      <c r="C660" t="str">
        <f t="shared" si="181"/>
        <v>とびます</v>
      </c>
      <c r="D660" t="str">
        <f t="shared" si="182"/>
        <v>（飛びます）</v>
      </c>
      <c r="E660" t="str">
        <f t="shared" si="183"/>
        <v xml:space="preserve"> 〔动1〕 飞，飞行</v>
      </c>
    </row>
    <row r="661" spans="1:5" x14ac:dyDescent="0.15">
      <c r="A661">
        <f>ROW()</f>
        <v>661</v>
      </c>
      <c r="B661" s="27" t="s">
        <v>895</v>
      </c>
      <c r="C661" t="str">
        <f t="shared" si="181"/>
        <v>しにます</v>
      </c>
      <c r="D661" t="str">
        <f t="shared" si="182"/>
        <v>（死にます）</v>
      </c>
      <c r="E661" t="str">
        <f t="shared" si="183"/>
        <v xml:space="preserve"> 〔动1〕 死，死亡</v>
      </c>
    </row>
    <row r="662" spans="1:5" x14ac:dyDescent="0.15">
      <c r="A662">
        <f>ROW()</f>
        <v>662</v>
      </c>
      <c r="B662" s="27" t="s">
        <v>896</v>
      </c>
      <c r="C662" t="str">
        <f t="shared" si="181"/>
        <v>まちます</v>
      </c>
      <c r="D662" t="str">
        <f t="shared" si="182"/>
        <v>（待ちます）</v>
      </c>
      <c r="E662" t="str">
        <f t="shared" si="183"/>
        <v xml:space="preserve"> 〔动1〕 等待，等候</v>
      </c>
    </row>
    <row r="663" spans="1:5" x14ac:dyDescent="0.15">
      <c r="A663">
        <f>ROW()</f>
        <v>663</v>
      </c>
      <c r="B663" s="27" t="s">
        <v>897</v>
      </c>
      <c r="C663" t="str">
        <f t="shared" si="181"/>
        <v>うります</v>
      </c>
      <c r="D663" t="str">
        <f t="shared" si="182"/>
        <v>（売ります）</v>
      </c>
      <c r="E663" t="str">
        <f t="shared" si="183"/>
        <v xml:space="preserve"> 〔动1〕 卖，销售</v>
      </c>
    </row>
    <row r="664" spans="1:5" x14ac:dyDescent="0.15">
      <c r="A664">
        <f>ROW()</f>
        <v>664</v>
      </c>
      <c r="B664" s="27" t="s">
        <v>898</v>
      </c>
      <c r="C664" t="str">
        <f t="shared" si="181"/>
        <v>はなします</v>
      </c>
      <c r="D664" t="str">
        <f t="shared" si="182"/>
        <v>（話します）</v>
      </c>
      <c r="E664" t="str">
        <f t="shared" si="183"/>
        <v xml:space="preserve"> 〔动1〕 说话，说</v>
      </c>
    </row>
    <row r="665" spans="1:5" x14ac:dyDescent="0.15">
      <c r="A665">
        <f>ROW()</f>
        <v>665</v>
      </c>
      <c r="B665" s="27" t="s">
        <v>1294</v>
      </c>
      <c r="C665" t="str">
        <f t="shared" si="181"/>
        <v>わたります</v>
      </c>
      <c r="D665" t="str">
        <f t="shared" si="182"/>
        <v>（渡ります）</v>
      </c>
      <c r="E665" t="str">
        <f t="shared" si="183"/>
        <v xml:space="preserve"> 〔动1〕 过（桥，河），穿过（马路）</v>
      </c>
    </row>
    <row r="666" spans="1:5" x14ac:dyDescent="0.15">
      <c r="A666">
        <f>ROW()</f>
        <v>666</v>
      </c>
      <c r="B666" s="27" t="s">
        <v>899</v>
      </c>
      <c r="C666" t="str">
        <f t="shared" si="181"/>
        <v>おろします</v>
      </c>
      <c r="D666" t="str">
        <f t="shared" si="182"/>
        <v>（下ろします）</v>
      </c>
      <c r="E666" t="str">
        <f t="shared" si="183"/>
        <v xml:space="preserve"> 〔动1〕 取，卸货</v>
      </c>
    </row>
    <row r="667" spans="1:5" x14ac:dyDescent="0.15">
      <c r="A667">
        <f>ROW()</f>
        <v>667</v>
      </c>
      <c r="B667" s="27" t="s">
        <v>900</v>
      </c>
      <c r="C667" t="str">
        <f t="shared" si="181"/>
        <v>えらびます</v>
      </c>
      <c r="D667" t="str">
        <f t="shared" si="182"/>
        <v>（選びます）</v>
      </c>
      <c r="E667" t="str">
        <f t="shared" si="183"/>
        <v xml:space="preserve"> 〔动1〕 挑选，选择</v>
      </c>
    </row>
    <row r="668" spans="1:5" x14ac:dyDescent="0.15">
      <c r="A668">
        <f>ROW()</f>
        <v>668</v>
      </c>
      <c r="B668" s="27" t="s">
        <v>1295</v>
      </c>
      <c r="C668" t="str">
        <f t="shared" si="181"/>
        <v>けします</v>
      </c>
      <c r="D668" t="str">
        <f t="shared" si="182"/>
        <v>（消します）</v>
      </c>
      <c r="E668" t="str">
        <f t="shared" si="183"/>
        <v xml:space="preserve"> 〔动1〕 关（灯），消除，去除</v>
      </c>
    </row>
    <row r="669" spans="1:5" x14ac:dyDescent="0.15">
      <c r="A669">
        <f>ROW()</f>
        <v>669</v>
      </c>
      <c r="B669" s="27" t="s">
        <v>901</v>
      </c>
      <c r="C669" t="str">
        <f t="shared" si="181"/>
        <v>あるきます</v>
      </c>
      <c r="D669" t="str">
        <f t="shared" si="182"/>
        <v>（歩きます）</v>
      </c>
      <c r="E669" t="str">
        <f t="shared" si="183"/>
        <v xml:space="preserve"> 〔动1〕 步行，行走</v>
      </c>
    </row>
    <row r="670" spans="1:5" x14ac:dyDescent="0.15">
      <c r="A670">
        <f>ROW()</f>
        <v>670</v>
      </c>
      <c r="B670" s="27" t="s">
        <v>902</v>
      </c>
      <c r="C670" t="str">
        <f t="shared" si="181"/>
        <v>まがります</v>
      </c>
      <c r="D670" t="str">
        <f t="shared" si="182"/>
        <v>（曲がります）</v>
      </c>
      <c r="E670" t="str">
        <f t="shared" si="183"/>
        <v xml:space="preserve"> 〔动1〕 拐弯，曲折</v>
      </c>
    </row>
    <row r="671" spans="1:5" x14ac:dyDescent="0.15">
      <c r="A671">
        <f>ROW()</f>
        <v>671</v>
      </c>
      <c r="B671" s="27" t="s">
        <v>903</v>
      </c>
      <c r="C671" t="str">
        <f t="shared" si="181"/>
        <v>あらいます</v>
      </c>
      <c r="D671" t="str">
        <f t="shared" si="182"/>
        <v>（洗います）</v>
      </c>
      <c r="E671" t="str">
        <f t="shared" si="183"/>
        <v xml:space="preserve"> 〔动1〕 洗，洗涤</v>
      </c>
    </row>
    <row r="672" spans="1:5" x14ac:dyDescent="0.15">
      <c r="A672">
        <f>ROW()</f>
        <v>672</v>
      </c>
      <c r="B672" s="27" t="s">
        <v>904</v>
      </c>
      <c r="C672" t="str">
        <f t="shared" si="181"/>
        <v>でます</v>
      </c>
      <c r="D672" t="str">
        <f t="shared" si="182"/>
        <v>（出ます）</v>
      </c>
      <c r="E672" t="str">
        <f t="shared" si="183"/>
        <v xml:space="preserve"> 〔动2〕 离开</v>
      </c>
    </row>
    <row r="673" spans="1:5" x14ac:dyDescent="0.15">
      <c r="A673">
        <f>ROW()</f>
        <v>673</v>
      </c>
      <c r="B673" s="27" t="s">
        <v>905</v>
      </c>
      <c r="C673" t="str">
        <f t="shared" si="181"/>
        <v>でかけます</v>
      </c>
      <c r="D673" t="str">
        <f t="shared" si="182"/>
        <v>（出かけます）</v>
      </c>
      <c r="E673" t="str">
        <f t="shared" si="183"/>
        <v xml:space="preserve"> 〔动2〕 外出，出门</v>
      </c>
    </row>
    <row r="674" spans="1:5" x14ac:dyDescent="0.15">
      <c r="A674">
        <f>ROW()</f>
        <v>674</v>
      </c>
      <c r="B674" s="27" t="s">
        <v>906</v>
      </c>
      <c r="C674" t="str">
        <f t="shared" si="181"/>
        <v>あけます</v>
      </c>
      <c r="D674" t="str">
        <f t="shared" si="182"/>
        <v>（開けます）</v>
      </c>
      <c r="E674" t="str">
        <f t="shared" si="183"/>
        <v xml:space="preserve"> 〔动2〕 开，打开，开启</v>
      </c>
    </row>
    <row r="675" spans="1:5" x14ac:dyDescent="0.15">
      <c r="A675">
        <f>ROW()</f>
        <v>675</v>
      </c>
      <c r="B675" s="27" t="s">
        <v>907</v>
      </c>
      <c r="C675" t="str">
        <f t="shared" si="181"/>
        <v>すぎます</v>
      </c>
      <c r="D675" t="str">
        <f t="shared" si="182"/>
        <v>（過ぎます）</v>
      </c>
      <c r="E675" t="str">
        <f t="shared" si="183"/>
        <v xml:space="preserve"> 〔动2〕 过</v>
      </c>
    </row>
    <row r="676" spans="1:5" x14ac:dyDescent="0.15">
      <c r="A676">
        <f>ROW()</f>
        <v>676</v>
      </c>
      <c r="B676" s="27" t="s">
        <v>908</v>
      </c>
      <c r="C676" t="str">
        <f t="shared" si="181"/>
        <v>みせます</v>
      </c>
      <c r="D676" t="str">
        <f t="shared" si="182"/>
        <v>（見せます）</v>
      </c>
      <c r="E676" t="str">
        <f t="shared" si="183"/>
        <v xml:space="preserve"> 〔动2〕 给～看；出示</v>
      </c>
    </row>
    <row r="677" spans="1:5" x14ac:dyDescent="0.15">
      <c r="A677">
        <f>ROW()</f>
        <v>677</v>
      </c>
      <c r="B677" s="27" t="s">
        <v>909</v>
      </c>
      <c r="C677" t="str">
        <f t="shared" si="181"/>
        <v>つけます 〔动2〕 开</v>
      </c>
      <c r="D677" t="str">
        <f t="shared" si="182"/>
        <v>（灯）</v>
      </c>
      <c r="E677" t="str">
        <f t="shared" si="183"/>
        <v/>
      </c>
    </row>
    <row r="678" spans="1:5" x14ac:dyDescent="0.15">
      <c r="A678">
        <f>ROW()</f>
        <v>678</v>
      </c>
      <c r="B678" s="27" t="s">
        <v>910</v>
      </c>
      <c r="C678" t="str">
        <f t="shared" si="181"/>
        <v>おります</v>
      </c>
      <c r="D678" t="str">
        <f t="shared" si="182"/>
        <v>（降ります）</v>
      </c>
      <c r="E678" t="str">
        <f t="shared" si="183"/>
        <v xml:space="preserve"> 〔动2〕 下（车，山）</v>
      </c>
    </row>
    <row r="679" spans="1:5" x14ac:dyDescent="0.15">
      <c r="A679">
        <f>ROW()</f>
        <v>679</v>
      </c>
      <c r="B679" s="27" t="s">
        <v>911</v>
      </c>
      <c r="C679" t="str">
        <f t="shared" si="181"/>
        <v>かいものします</v>
      </c>
      <c r="D679" t="str">
        <f t="shared" si="182"/>
        <v>（買い物～）</v>
      </c>
      <c r="E679" t="str">
        <f t="shared" si="183"/>
        <v xml:space="preserve"> 〔动3〕 买东西</v>
      </c>
    </row>
    <row r="680" spans="1:5" x14ac:dyDescent="0.15">
      <c r="A680">
        <f>ROW()</f>
        <v>680</v>
      </c>
      <c r="B680" s="27" t="s">
        <v>912</v>
      </c>
      <c r="C680" t="str">
        <f t="shared" si="181"/>
        <v>そつぎょうします</v>
      </c>
      <c r="D680" t="str">
        <f t="shared" si="182"/>
        <v>（卒業～）</v>
      </c>
      <c r="E680" t="str">
        <f t="shared" si="183"/>
        <v xml:space="preserve"> 〔动3〕 毕业</v>
      </c>
    </row>
    <row r="681" spans="1:5" x14ac:dyDescent="0.15">
      <c r="A681">
        <f>ROW()</f>
        <v>681</v>
      </c>
      <c r="B681" s="27" t="s">
        <v>913</v>
      </c>
      <c r="C681" t="str">
        <f t="shared" si="181"/>
        <v>しょくじします</v>
      </c>
      <c r="D681" t="str">
        <f t="shared" si="182"/>
        <v>（食事～）</v>
      </c>
      <c r="E681" t="str">
        <f t="shared" si="183"/>
        <v xml:space="preserve"> 〔动3〕 吃饭，用餐</v>
      </c>
    </row>
    <row r="682" spans="1:5" x14ac:dyDescent="0.15">
      <c r="A682">
        <f>ROW()</f>
        <v>682</v>
      </c>
      <c r="B682" s="27" t="s">
        <v>914</v>
      </c>
      <c r="C682" t="str">
        <f t="shared" si="181"/>
        <v>せいりします</v>
      </c>
      <c r="D682" t="str">
        <f t="shared" si="182"/>
        <v>（整理～）</v>
      </c>
      <c r="E682" t="str">
        <f t="shared" si="183"/>
        <v xml:space="preserve"> 〔动3〕 整理</v>
      </c>
    </row>
    <row r="683" spans="1:5" x14ac:dyDescent="0.15">
      <c r="A683">
        <f>ROW()</f>
        <v>683</v>
      </c>
      <c r="B683" s="27" t="s">
        <v>915</v>
      </c>
      <c r="C683" t="str">
        <f t="shared" ref="C683" si="188">LEFT(B683,FIND("〔",B683)-1)</f>
        <v xml:space="preserve">コピーします </v>
      </c>
      <c r="E683" t="str">
        <f t="shared" ref="E683" si="189">RIGHT(B683,LEN(B683)-FIND("〔",B683)+1)</f>
        <v>〔动3〕 复印</v>
      </c>
    </row>
    <row r="684" spans="1:5" x14ac:dyDescent="0.15">
      <c r="A684">
        <f>ROW()</f>
        <v>684</v>
      </c>
      <c r="B684" s="27" t="s">
        <v>916</v>
      </c>
      <c r="C684" t="str">
        <f t="shared" si="181"/>
        <v>くらい</v>
      </c>
      <c r="D684" t="str">
        <f t="shared" si="182"/>
        <v>（暗い）</v>
      </c>
      <c r="E684" t="str">
        <f t="shared" si="183"/>
        <v xml:space="preserve"> 〔形1〕 黑暗，昏暗</v>
      </c>
    </row>
    <row r="685" spans="1:5" x14ac:dyDescent="0.15">
      <c r="A685">
        <f>ROW()</f>
        <v>685</v>
      </c>
      <c r="B685" s="27" t="s">
        <v>917</v>
      </c>
      <c r="C685" t="str">
        <f t="shared" si="181"/>
        <v>たいへん</v>
      </c>
      <c r="D685" t="str">
        <f t="shared" si="182"/>
        <v>（大変）</v>
      </c>
      <c r="E685" t="str">
        <f t="shared" si="183"/>
        <v xml:space="preserve"> 〔形2〕 够受的，不得了</v>
      </c>
    </row>
    <row r="686" spans="1:5" x14ac:dyDescent="0.15">
      <c r="A686">
        <f>ROW()</f>
        <v>686</v>
      </c>
      <c r="B686" s="27" t="s">
        <v>918</v>
      </c>
      <c r="C686" t="str">
        <f t="shared" ref="C686:C688" si="190">LEFT(B686,FIND("〔",B686)-1)</f>
        <v xml:space="preserve">なかなか </v>
      </c>
      <c r="E686" t="str">
        <f t="shared" ref="E686:E688" si="191">RIGHT(B686,LEN(B686)-FIND("〔",B686)+1)</f>
        <v>〔副〕 相当，很，非常</v>
      </c>
    </row>
    <row r="687" spans="1:5" x14ac:dyDescent="0.15">
      <c r="A687">
        <f>ROW()</f>
        <v>687</v>
      </c>
      <c r="B687" s="27" t="s">
        <v>919</v>
      </c>
      <c r="C687" t="str">
        <f t="shared" si="190"/>
        <v xml:space="preserve">こう </v>
      </c>
      <c r="E687" t="str">
        <f t="shared" si="191"/>
        <v>〔副〕 这样，如此</v>
      </c>
    </row>
    <row r="688" spans="1:5" x14ac:dyDescent="0.15">
      <c r="A688">
        <f>ROW()</f>
        <v>688</v>
      </c>
      <c r="B688" s="27" t="s">
        <v>920</v>
      </c>
      <c r="C688" t="str">
        <f t="shared" si="190"/>
        <v xml:space="preserve">そう∕ああ </v>
      </c>
      <c r="E688" t="str">
        <f t="shared" si="191"/>
        <v>〔副〕 那样</v>
      </c>
    </row>
    <row r="689" spans="1:5" x14ac:dyDescent="0.15">
      <c r="A689">
        <f>ROW()</f>
        <v>689</v>
      </c>
      <c r="B689" s="27" t="s">
        <v>921</v>
      </c>
      <c r="C689" t="str">
        <f t="shared" si="181"/>
        <v>あとで</v>
      </c>
      <c r="D689" t="str">
        <f t="shared" si="182"/>
        <v>（後で）</v>
      </c>
      <c r="E689" t="str">
        <f t="shared" si="183"/>
        <v xml:space="preserve"> 〔副〕 过会儿</v>
      </c>
    </row>
    <row r="690" spans="1:5" x14ac:dyDescent="0.15">
      <c r="A690">
        <f>ROW()</f>
        <v>690</v>
      </c>
      <c r="B690" s="27" t="s">
        <v>922</v>
      </c>
      <c r="C690" t="str">
        <f t="shared" ref="C690:C693" si="192">LEFT(B690,FIND("〔",B690)-1)</f>
        <v xml:space="preserve">それから </v>
      </c>
      <c r="E690" t="str">
        <f t="shared" ref="E690:E693" si="193">RIGHT(B690,LEN(B690)-FIND("〔",B690)+1)</f>
        <v>〔连〕 然后</v>
      </c>
    </row>
    <row r="691" spans="1:5" x14ac:dyDescent="0.15">
      <c r="A691">
        <f>ROW()</f>
        <v>691</v>
      </c>
      <c r="B691" s="27" t="s">
        <v>923</v>
      </c>
      <c r="C691" t="str">
        <f>LEFT(B691,FIND(" ",B691)-1)</f>
        <v>すみませんが</v>
      </c>
      <c r="E691" t="str">
        <f>RIGHT(B691,LEN(B691)-FIND(" ",B691)+1)</f>
        <v xml:space="preserve"> 对不起……，劳驾……</v>
      </c>
    </row>
    <row r="692" spans="1:5" x14ac:dyDescent="0.15">
      <c r="A692">
        <f>ROW()</f>
        <v>692</v>
      </c>
      <c r="B692" s="27" t="s">
        <v>924</v>
      </c>
      <c r="C692" t="str">
        <f t="shared" si="192"/>
        <v xml:space="preserve">ボート </v>
      </c>
      <c r="E692" t="str">
        <f t="shared" si="193"/>
        <v>〔名〕 小船，小艇</v>
      </c>
    </row>
    <row r="693" spans="1:5" x14ac:dyDescent="0.15">
      <c r="A693">
        <f>ROW()</f>
        <v>693</v>
      </c>
      <c r="B693" s="27" t="s">
        <v>925</v>
      </c>
      <c r="C693" t="str">
        <f t="shared" si="192"/>
        <v xml:space="preserve">ベンチ </v>
      </c>
      <c r="E693" t="str">
        <f t="shared" si="193"/>
        <v>〔名〕 长椅，长凳</v>
      </c>
    </row>
    <row r="694" spans="1:5" x14ac:dyDescent="0.15">
      <c r="A694">
        <f>ROW()</f>
        <v>694</v>
      </c>
      <c r="B694" s="27" t="s">
        <v>926</v>
      </c>
      <c r="C694" t="str">
        <f t="shared" si="181"/>
        <v>しやくしょ</v>
      </c>
      <c r="D694" t="str">
        <f t="shared" si="182"/>
        <v>（市役所）</v>
      </c>
      <c r="E694" t="str">
        <f t="shared" si="183"/>
        <v xml:space="preserve"> 〔名〕 市政府</v>
      </c>
    </row>
    <row r="695" spans="1:5" x14ac:dyDescent="0.15">
      <c r="A695">
        <f>ROW()</f>
        <v>695</v>
      </c>
      <c r="B695" s="27" t="s">
        <v>927</v>
      </c>
      <c r="C695" t="str">
        <f t="shared" si="181"/>
        <v>けいたいでんわ</v>
      </c>
      <c r="D695" t="str">
        <f t="shared" si="182"/>
        <v>（携帯電話）</v>
      </c>
      <c r="E695" t="str">
        <f t="shared" si="183"/>
        <v xml:space="preserve"> 〔名〕 手机</v>
      </c>
    </row>
    <row r="696" spans="1:5" x14ac:dyDescent="0.15">
      <c r="A696">
        <f>ROW()</f>
        <v>696</v>
      </c>
      <c r="B696" s="27" t="s">
        <v>928</v>
      </c>
      <c r="C696" t="str">
        <f t="shared" si="181"/>
        <v>きんえん</v>
      </c>
      <c r="D696" t="str">
        <f t="shared" si="182"/>
        <v>（禁煙）</v>
      </c>
      <c r="E696" t="str">
        <f t="shared" si="183"/>
        <v xml:space="preserve"> 〔名〕 禁止吸烟</v>
      </c>
    </row>
    <row r="697" spans="1:5" x14ac:dyDescent="0.15">
      <c r="A697">
        <f>ROW()</f>
        <v>697</v>
      </c>
      <c r="B697" s="27" t="s">
        <v>929</v>
      </c>
      <c r="C697" t="str">
        <f t="shared" si="181"/>
        <v>かぜ</v>
      </c>
      <c r="D697" t="str">
        <f t="shared" si="182"/>
        <v>（風邪）</v>
      </c>
      <c r="E697" t="str">
        <f t="shared" si="183"/>
        <v xml:space="preserve"> 〔名〕 感冒</v>
      </c>
    </row>
    <row r="698" spans="1:5" x14ac:dyDescent="0.15">
      <c r="A698">
        <f>ROW()</f>
        <v>698</v>
      </c>
      <c r="B698" s="27" t="s">
        <v>930</v>
      </c>
      <c r="C698" t="str">
        <f t="shared" si="181"/>
        <v>ねつ</v>
      </c>
      <c r="D698" t="str">
        <f t="shared" si="182"/>
        <v>（熱）</v>
      </c>
      <c r="E698" t="str">
        <f t="shared" si="183"/>
        <v xml:space="preserve"> 〔名〕 发烧，体温</v>
      </c>
    </row>
    <row r="699" spans="1:5" x14ac:dyDescent="0.15">
      <c r="A699">
        <f>ROW()</f>
        <v>699</v>
      </c>
      <c r="B699" s="27" t="s">
        <v>931</v>
      </c>
      <c r="C699" t="str">
        <f t="shared" si="181"/>
        <v>すいみん</v>
      </c>
      <c r="D699" t="str">
        <f t="shared" si="182"/>
        <v>（睡眠）</v>
      </c>
      <c r="E699" t="str">
        <f t="shared" si="183"/>
        <v xml:space="preserve"> 〔名〕 睡眠</v>
      </c>
    </row>
    <row r="700" spans="1:5" x14ac:dyDescent="0.15">
      <c r="A700">
        <f>ROW()</f>
        <v>700</v>
      </c>
      <c r="B700" s="27" t="s">
        <v>932</v>
      </c>
      <c r="C700" t="str">
        <f t="shared" si="181"/>
        <v>おふろ</v>
      </c>
      <c r="D700" t="str">
        <f t="shared" si="182"/>
        <v>（お風呂）</v>
      </c>
      <c r="E700" t="str">
        <f t="shared" si="183"/>
        <v xml:space="preserve"> 〔名〕 澡堂，浴室</v>
      </c>
    </row>
    <row r="701" spans="1:5" x14ac:dyDescent="0.15">
      <c r="A701">
        <f>ROW()</f>
        <v>701</v>
      </c>
      <c r="B701" s="27" t="s">
        <v>933</v>
      </c>
      <c r="C701" t="str">
        <f t="shared" si="181"/>
        <v>やっきょく</v>
      </c>
      <c r="D701" t="str">
        <f t="shared" si="182"/>
        <v>（薬局）</v>
      </c>
      <c r="E701" t="str">
        <f t="shared" si="183"/>
        <v xml:space="preserve"> 〔名〕 药店</v>
      </c>
    </row>
    <row r="702" spans="1:5" x14ac:dyDescent="0.15">
      <c r="A702">
        <f>ROW()</f>
        <v>702</v>
      </c>
      <c r="B702" s="27" t="s">
        <v>934</v>
      </c>
      <c r="C702" t="str">
        <f t="shared" ref="C702" si="194">LEFT(B702,FIND("〔",B702)-1)</f>
        <v xml:space="preserve">クーラー </v>
      </c>
      <c r="E702" t="str">
        <f t="shared" ref="E702" si="195">RIGHT(B702,LEN(B702)-FIND("〔",B702)+1)</f>
        <v>〔名〕 空调</v>
      </c>
    </row>
    <row r="703" spans="1:5" x14ac:dyDescent="0.15">
      <c r="A703">
        <f>ROW()</f>
        <v>703</v>
      </c>
      <c r="B703" s="27" t="s">
        <v>935</v>
      </c>
      <c r="C703" t="str">
        <f t="shared" si="181"/>
        <v>ひ</v>
      </c>
      <c r="D703" t="str">
        <f t="shared" si="182"/>
        <v>（火）</v>
      </c>
      <c r="E703" t="str">
        <f t="shared" si="183"/>
        <v xml:space="preserve"> 〔名〕 火</v>
      </c>
    </row>
    <row r="704" spans="1:5" x14ac:dyDescent="0.15">
      <c r="A704">
        <f>ROW()</f>
        <v>704</v>
      </c>
      <c r="B704" s="27" t="s">
        <v>936</v>
      </c>
      <c r="C704" t="str">
        <f t="shared" si="181"/>
        <v>き</v>
      </c>
      <c r="D704" t="str">
        <f t="shared" si="182"/>
        <v>（気）</v>
      </c>
      <c r="E704" t="str">
        <f t="shared" si="183"/>
        <v xml:space="preserve"> 〔名〕 精神，意识</v>
      </c>
    </row>
    <row r="705" spans="1:5" x14ac:dyDescent="0.15">
      <c r="A705">
        <f>ROW()</f>
        <v>705</v>
      </c>
      <c r="B705" s="27" t="s">
        <v>1299</v>
      </c>
      <c r="C705" t="str">
        <f t="shared" si="181"/>
        <v>うちあわせ</v>
      </c>
      <c r="D705" t="str">
        <f t="shared" si="182"/>
        <v>（打ち合わせ）</v>
      </c>
      <c r="E705" t="str">
        <f t="shared" si="183"/>
        <v xml:space="preserve"> 〔名〕 事先商量，碰头，商洽</v>
      </c>
    </row>
    <row r="706" spans="1:5" x14ac:dyDescent="0.15">
      <c r="A706">
        <f>ROW()</f>
        <v>706</v>
      </c>
      <c r="B706" s="27" t="s">
        <v>937</v>
      </c>
      <c r="C706" t="str">
        <f t="shared" si="181"/>
        <v>むり</v>
      </c>
      <c r="D706" t="str">
        <f t="shared" si="182"/>
        <v>（無理）</v>
      </c>
      <c r="E706" t="str">
        <f t="shared" si="183"/>
        <v xml:space="preserve"> 〔名〕 勉强，难以办到</v>
      </c>
    </row>
    <row r="707" spans="1:5" x14ac:dyDescent="0.15">
      <c r="A707">
        <f>ROW()</f>
        <v>707</v>
      </c>
      <c r="B707" s="27" t="s">
        <v>938</v>
      </c>
      <c r="C707" t="str">
        <f t="shared" si="181"/>
        <v>ちゅうしゃきんし</v>
      </c>
      <c r="D707" t="str">
        <f t="shared" si="182"/>
        <v>（駐車禁止）</v>
      </c>
      <c r="E707" t="str">
        <f t="shared" si="183"/>
        <v xml:space="preserve"> 〔名〕 禁止停车</v>
      </c>
    </row>
    <row r="708" spans="1:5" x14ac:dyDescent="0.15">
      <c r="A708">
        <f>ROW()</f>
        <v>708</v>
      </c>
      <c r="B708" s="27" t="s">
        <v>939</v>
      </c>
      <c r="C708" t="str">
        <f t="shared" ref="C708:C766" si="196">LEFT(B708,FIND("（",B708)-1)</f>
        <v>たちいりきんし</v>
      </c>
      <c r="D708" t="str">
        <f t="shared" ref="D708:D766" si="197">MID(B708,FIND("（",B708),FIND("）",B708)-FIND("（",B708)+1)</f>
        <v>（立入禁止）</v>
      </c>
      <c r="E708" t="str">
        <f t="shared" ref="E708:E766" si="198">RIGHT(B708,LEN(B708)-FIND("）",B708))</f>
        <v xml:space="preserve"> 〔名〕 禁止进入</v>
      </c>
    </row>
    <row r="709" spans="1:5" x14ac:dyDescent="0.15">
      <c r="A709">
        <f>ROW()</f>
        <v>709</v>
      </c>
      <c r="B709" s="27" t="s">
        <v>940</v>
      </c>
      <c r="C709" t="str">
        <f t="shared" si="196"/>
        <v>かきげんきん</v>
      </c>
      <c r="D709" t="str">
        <f t="shared" si="197"/>
        <v>（火気厳禁）</v>
      </c>
      <c r="E709" t="str">
        <f t="shared" si="198"/>
        <v xml:space="preserve"> 〔名〕 严禁烟火</v>
      </c>
    </row>
    <row r="710" spans="1:5" x14ac:dyDescent="0.15">
      <c r="A710">
        <f>ROW()</f>
        <v>710</v>
      </c>
      <c r="B710" s="27" t="s">
        <v>941</v>
      </c>
      <c r="C710" t="str">
        <f t="shared" si="196"/>
        <v>さつえいきんし</v>
      </c>
      <c r="D710" t="str">
        <f t="shared" si="197"/>
        <v>（撮影禁止）</v>
      </c>
      <c r="E710" t="str">
        <f t="shared" si="198"/>
        <v xml:space="preserve"> 〔名〕 禁止拍照</v>
      </c>
    </row>
    <row r="711" spans="1:5" x14ac:dyDescent="0.15">
      <c r="A711">
        <f>ROW()</f>
        <v>711</v>
      </c>
      <c r="B711" s="27" t="s">
        <v>942</v>
      </c>
      <c r="C711" t="str">
        <f t="shared" si="196"/>
        <v>のります</v>
      </c>
      <c r="D711" t="str">
        <f t="shared" si="197"/>
        <v>（乗ります）</v>
      </c>
      <c r="E711" t="str">
        <f t="shared" si="198"/>
        <v xml:space="preserve"> 〔动1〕 乘坐，乘</v>
      </c>
    </row>
    <row r="712" spans="1:5" x14ac:dyDescent="0.15">
      <c r="A712">
        <f>ROW()</f>
        <v>712</v>
      </c>
      <c r="B712" s="27" t="s">
        <v>943</v>
      </c>
      <c r="C712" t="str">
        <f t="shared" si="196"/>
        <v>つかいます</v>
      </c>
      <c r="D712" t="str">
        <f t="shared" si="197"/>
        <v>（使います）</v>
      </c>
      <c r="E712" t="str">
        <f t="shared" si="198"/>
        <v xml:space="preserve"> 〔动1〕 用，使用</v>
      </c>
    </row>
    <row r="713" spans="1:5" x14ac:dyDescent="0.15">
      <c r="A713">
        <f>ROW()</f>
        <v>713</v>
      </c>
      <c r="B713" s="27" t="s">
        <v>944</v>
      </c>
      <c r="C713" t="str">
        <f t="shared" si="196"/>
        <v>すわります</v>
      </c>
      <c r="D713" t="str">
        <f t="shared" si="197"/>
        <v>（座ります）</v>
      </c>
      <c r="E713" t="str">
        <f t="shared" si="198"/>
        <v xml:space="preserve"> 〔动1〕 坐，落座</v>
      </c>
    </row>
    <row r="714" spans="1:5" x14ac:dyDescent="0.15">
      <c r="A714">
        <f>ROW()</f>
        <v>714</v>
      </c>
      <c r="B714" s="27" t="s">
        <v>945</v>
      </c>
      <c r="C714" t="str">
        <f t="shared" si="196"/>
        <v>はいります</v>
      </c>
      <c r="D714" t="str">
        <f t="shared" si="197"/>
        <v>（入ります）</v>
      </c>
      <c r="E714" t="str">
        <f t="shared" si="198"/>
        <v xml:space="preserve"> 〔动1〕 进入，加入</v>
      </c>
    </row>
    <row r="715" spans="1:5" x14ac:dyDescent="0.15">
      <c r="A715">
        <f>ROW()</f>
        <v>715</v>
      </c>
      <c r="B715" s="27" t="s">
        <v>946</v>
      </c>
      <c r="C715" t="str">
        <f t="shared" si="196"/>
        <v>もうします</v>
      </c>
      <c r="D715" t="str">
        <f t="shared" si="197"/>
        <v>（申します）</v>
      </c>
      <c r="E715" t="str">
        <f t="shared" si="198"/>
        <v xml:space="preserve"> 〔动1〕 是，说，讲，告诉</v>
      </c>
    </row>
    <row r="716" spans="1:5" x14ac:dyDescent="0.15">
      <c r="A716">
        <f>ROW()</f>
        <v>716</v>
      </c>
      <c r="B716" s="27" t="s">
        <v>947</v>
      </c>
      <c r="C716" t="str">
        <f t="shared" ref="C716" si="199">LEFT(B716,FIND("〔",B716)-1)</f>
        <v xml:space="preserve">とります </v>
      </c>
      <c r="E716" t="str">
        <f t="shared" ref="E716" si="200">RIGHT(B716,LEN(B716)-FIND("〔",B716)+1)</f>
        <v>〔动1〕 取，取得</v>
      </c>
    </row>
    <row r="717" spans="1:5" x14ac:dyDescent="0.15">
      <c r="A717">
        <f>ROW()</f>
        <v>717</v>
      </c>
      <c r="B717" s="27" t="s">
        <v>948</v>
      </c>
      <c r="C717" t="str">
        <f t="shared" si="196"/>
        <v>うたいます</v>
      </c>
      <c r="D717" t="str">
        <f t="shared" si="197"/>
        <v>（歌います）</v>
      </c>
      <c r="E717" t="str">
        <f t="shared" si="198"/>
        <v xml:space="preserve"> 〔动1〕 唱，歌唱</v>
      </c>
    </row>
    <row r="718" spans="1:5" x14ac:dyDescent="0.15">
      <c r="A718">
        <f>ROW()</f>
        <v>718</v>
      </c>
      <c r="B718" s="27" t="s">
        <v>949</v>
      </c>
      <c r="C718" t="str">
        <f t="shared" si="196"/>
        <v>つたえます</v>
      </c>
      <c r="D718" t="str">
        <f t="shared" si="197"/>
        <v>（伝えます）</v>
      </c>
      <c r="E718" t="str">
        <f t="shared" si="198"/>
        <v xml:space="preserve"> 〔动2〕 说，传达，转告</v>
      </c>
    </row>
    <row r="719" spans="1:5" x14ac:dyDescent="0.15">
      <c r="A719">
        <f>ROW()</f>
        <v>719</v>
      </c>
      <c r="B719" s="27" t="s">
        <v>950</v>
      </c>
      <c r="C719" t="str">
        <f t="shared" si="196"/>
        <v>とめます</v>
      </c>
      <c r="D719" t="str">
        <f t="shared" si="197"/>
        <v>（止めます）</v>
      </c>
      <c r="E719" t="str">
        <f t="shared" si="198"/>
        <v xml:space="preserve"> 〔动2〕 停，制止</v>
      </c>
    </row>
    <row r="720" spans="1:5" x14ac:dyDescent="0.15">
      <c r="A720">
        <f>ROW()</f>
        <v>720</v>
      </c>
      <c r="B720" s="27" t="s">
        <v>951</v>
      </c>
      <c r="C720" t="str">
        <f t="shared" si="196"/>
        <v>あたたかい</v>
      </c>
      <c r="D720" t="str">
        <f t="shared" si="197"/>
        <v>（暖かい）</v>
      </c>
      <c r="E720" t="str">
        <f t="shared" si="198"/>
        <v xml:space="preserve"> 〔形1〕 热乎，温暖</v>
      </c>
    </row>
    <row r="721" spans="1:5" x14ac:dyDescent="0.15">
      <c r="A721">
        <f>ROW()</f>
        <v>721</v>
      </c>
      <c r="B721" s="27" t="s">
        <v>952</v>
      </c>
      <c r="C721" t="str">
        <f t="shared" si="196"/>
        <v>だいじょうぶ</v>
      </c>
      <c r="D721" t="str">
        <f t="shared" si="197"/>
        <v>（大丈夫）</v>
      </c>
      <c r="E721" t="str">
        <f t="shared" si="198"/>
        <v xml:space="preserve"> 〔形2〕 没关系，放心</v>
      </c>
    </row>
    <row r="722" spans="1:5" x14ac:dyDescent="0.15">
      <c r="A722">
        <f>ROW()</f>
        <v>722</v>
      </c>
      <c r="B722" s="27" t="s">
        <v>953</v>
      </c>
      <c r="C722" t="str">
        <f t="shared" ref="C722" si="201">LEFT(B722,FIND("〔",B722)-1)</f>
        <v xml:space="preserve">だめ </v>
      </c>
      <c r="E722" t="str">
        <f t="shared" ref="E722" si="202">RIGHT(B722,LEN(B722)-FIND("〔",B722)+1)</f>
        <v>〔形2〕 不行，不可以</v>
      </c>
    </row>
    <row r="723" spans="1:5" x14ac:dyDescent="0.15">
      <c r="A723">
        <f>ROW()</f>
        <v>723</v>
      </c>
      <c r="B723" s="27" t="s">
        <v>954</v>
      </c>
      <c r="C723" t="str">
        <f t="shared" si="196"/>
        <v>じゅうぶん</v>
      </c>
      <c r="D723" t="str">
        <f t="shared" si="197"/>
        <v>（十分）</v>
      </c>
      <c r="E723" t="str">
        <f t="shared" si="198"/>
        <v xml:space="preserve"> 〔副〕 好好地，充足地</v>
      </c>
    </row>
    <row r="724" spans="1:5" x14ac:dyDescent="0.15">
      <c r="A724">
        <f>ROW()</f>
        <v>724</v>
      </c>
      <c r="B724" s="27" t="s">
        <v>955</v>
      </c>
      <c r="C724" t="str">
        <f t="shared" ref="C724:C727" si="203">LEFT(B724,FIND("〔",B724)-1)</f>
        <v xml:space="preserve">もちろん </v>
      </c>
      <c r="E724" t="str">
        <f t="shared" ref="E724:E727" si="204">RIGHT(B724,LEN(B724)-FIND("〔",B724)+1)</f>
        <v>〔副〕 当然，不用说</v>
      </c>
    </row>
    <row r="725" spans="1:5" x14ac:dyDescent="0.15">
      <c r="A725">
        <f>ROW()</f>
        <v>725</v>
      </c>
      <c r="B725" s="27" t="s">
        <v>956</v>
      </c>
      <c r="C725" t="str">
        <f t="shared" si="203"/>
        <v xml:space="preserve">ゆっくり </v>
      </c>
      <c r="E725" t="str">
        <f t="shared" si="204"/>
        <v>〔副〕 好好地，安静地</v>
      </c>
    </row>
    <row r="726" spans="1:5" x14ac:dyDescent="0.15">
      <c r="A726">
        <f>ROW()</f>
        <v>726</v>
      </c>
      <c r="B726" s="27" t="s">
        <v>957</v>
      </c>
      <c r="C726" t="str">
        <f t="shared" si="203"/>
        <v xml:space="preserve">もしもし </v>
      </c>
      <c r="E726" t="str">
        <f t="shared" si="204"/>
        <v>〔叹〕 喂</v>
      </c>
    </row>
    <row r="727" spans="1:5" x14ac:dyDescent="0.15">
      <c r="A727">
        <f>ROW()</f>
        <v>727</v>
      </c>
      <c r="B727" s="27" t="s">
        <v>958</v>
      </c>
      <c r="C727" t="str">
        <f t="shared" si="203"/>
        <v xml:space="preserve">いえ </v>
      </c>
      <c r="E727" t="str">
        <f t="shared" si="204"/>
        <v>〔叹〕 不，不是</v>
      </c>
    </row>
    <row r="728" spans="1:5" x14ac:dyDescent="0.15">
      <c r="A728">
        <f>ROW()</f>
        <v>728</v>
      </c>
      <c r="B728" s="27" t="s">
        <v>959</v>
      </c>
      <c r="C728" t="str">
        <f t="shared" si="196"/>
        <v>おだいじに</v>
      </c>
      <c r="D728" t="str">
        <f t="shared" si="197"/>
        <v>（お大事に）</v>
      </c>
      <c r="E728" t="str">
        <f t="shared" si="198"/>
        <v xml:space="preserve"> 请多保重</v>
      </c>
    </row>
    <row r="729" spans="1:5" x14ac:dyDescent="0.15">
      <c r="A729">
        <f>ROW()</f>
        <v>729</v>
      </c>
      <c r="B729" s="27" t="s">
        <v>960</v>
      </c>
      <c r="C729" t="str">
        <f>LEFT(B729,FIND(" ",B729)-1)</f>
        <v>いけません</v>
      </c>
      <c r="E729" t="str">
        <f>RIGHT(B729,LEN(B729)-FIND(" ",B729)+1)</f>
        <v xml:space="preserve"> 不行，不可以</v>
      </c>
    </row>
    <row r="730" spans="1:5" x14ac:dyDescent="0.15">
      <c r="A730">
        <f>ROW()</f>
        <v>730</v>
      </c>
      <c r="B730" s="27" t="s">
        <v>961</v>
      </c>
      <c r="C730" t="str">
        <f>LEFT(B730,FIND(" ",B730)-1)</f>
        <v>かまいません</v>
      </c>
      <c r="E730" t="str">
        <f>RIGHT(B730,LEN(B730)-FIND(" ",B730)+1)</f>
        <v xml:space="preserve"> 没关系，不要紧</v>
      </c>
    </row>
    <row r="731" spans="1:5" x14ac:dyDescent="0.15">
      <c r="A731">
        <f>ROW()</f>
        <v>731</v>
      </c>
      <c r="B731" s="27" t="s">
        <v>962</v>
      </c>
      <c r="C731" t="str">
        <f>LEFT(B731,FIND(" ",B731)-1)</f>
        <v>まだです</v>
      </c>
      <c r="E731" t="str">
        <f>RIGHT(B731,LEN(B731)-FIND(" ",B731)+1)</f>
        <v xml:space="preserve"> 还没有，仍然……没有</v>
      </c>
    </row>
    <row r="732" spans="1:5" x14ac:dyDescent="0.15">
      <c r="A732">
        <f>ROW()</f>
        <v>732</v>
      </c>
      <c r="B732" s="27" t="s">
        <v>963</v>
      </c>
      <c r="C732" t="str">
        <f t="shared" si="196"/>
        <v>きをつけます</v>
      </c>
      <c r="D732" t="str">
        <f t="shared" si="197"/>
        <v>（気をつけます）</v>
      </c>
      <c r="E732" t="str">
        <f t="shared" si="198"/>
        <v xml:space="preserve"> 注意</v>
      </c>
    </row>
    <row r="733" spans="1:5" x14ac:dyDescent="0.15">
      <c r="A733">
        <f>ROW()</f>
        <v>733</v>
      </c>
      <c r="B733" s="27" t="s">
        <v>964</v>
      </c>
      <c r="C733" t="str">
        <f t="shared" si="196"/>
        <v>むりをします</v>
      </c>
      <c r="D733" t="str">
        <f t="shared" si="197"/>
        <v>（無理をします）</v>
      </c>
      <c r="E733" t="str">
        <f t="shared" si="198"/>
        <v xml:space="preserve"> 勉强</v>
      </c>
    </row>
    <row r="734" spans="1:5" x14ac:dyDescent="0.15">
      <c r="A734">
        <f>ROW()</f>
        <v>734</v>
      </c>
      <c r="B734" s="27" t="s">
        <v>965</v>
      </c>
      <c r="C734" t="str">
        <f t="shared" si="196"/>
        <v>すいみんをとります</v>
      </c>
      <c r="D734" t="str">
        <f t="shared" si="197"/>
        <v>（睡眠をとります）</v>
      </c>
      <c r="E734" t="str">
        <f t="shared" si="198"/>
        <v xml:space="preserve"> 睡觉</v>
      </c>
    </row>
    <row r="735" spans="1:5" x14ac:dyDescent="0.15">
      <c r="A735">
        <f>ROW()</f>
        <v>735</v>
      </c>
      <c r="B735" s="27" t="s">
        <v>966</v>
      </c>
      <c r="C735" t="str">
        <f t="shared" si="196"/>
        <v>おふろにはいります</v>
      </c>
      <c r="D735" t="str">
        <f t="shared" si="197"/>
        <v>（お風呂にはいります）</v>
      </c>
      <c r="E735" t="str">
        <f t="shared" si="198"/>
        <v xml:space="preserve"> 洗澡</v>
      </c>
    </row>
    <row r="736" spans="1:5" x14ac:dyDescent="0.15">
      <c r="A736">
        <f>ROW()</f>
        <v>736</v>
      </c>
      <c r="B736" s="27" t="s">
        <v>967</v>
      </c>
      <c r="C736" t="str">
        <f t="shared" si="196"/>
        <v>そうさ</v>
      </c>
      <c r="D736" t="str">
        <f t="shared" si="197"/>
        <v>（操作）</v>
      </c>
      <c r="E736" t="str">
        <f t="shared" si="198"/>
        <v xml:space="preserve"> 〔名〕 操作，操纵</v>
      </c>
    </row>
    <row r="737" spans="1:5" x14ac:dyDescent="0.15">
      <c r="A737">
        <f>ROW()</f>
        <v>737</v>
      </c>
      <c r="B737" s="27" t="s">
        <v>968</v>
      </c>
      <c r="C737" t="str">
        <f t="shared" si="196"/>
        <v>きかい</v>
      </c>
      <c r="D737" t="str">
        <f t="shared" si="197"/>
        <v>（機械）</v>
      </c>
      <c r="E737" t="str">
        <f t="shared" si="198"/>
        <v xml:space="preserve"> 〔名〕 机械，机器</v>
      </c>
    </row>
    <row r="738" spans="1:5" x14ac:dyDescent="0.15">
      <c r="A738">
        <f>ROW()</f>
        <v>738</v>
      </c>
      <c r="B738" s="27" t="s">
        <v>969</v>
      </c>
      <c r="C738" t="str">
        <f t="shared" si="196"/>
        <v>りょこうがいしゃ</v>
      </c>
      <c r="D738" t="str">
        <f t="shared" si="197"/>
        <v>（旅行会社）</v>
      </c>
      <c r="E738" t="str">
        <f t="shared" si="198"/>
        <v xml:space="preserve"> 〔名〕 旅行社</v>
      </c>
    </row>
    <row r="739" spans="1:5" x14ac:dyDescent="0.15">
      <c r="A739">
        <f>ROW()</f>
        <v>739</v>
      </c>
      <c r="B739" s="27" t="s">
        <v>970</v>
      </c>
      <c r="C739" t="str">
        <f t="shared" si="196"/>
        <v>こうくうがいしゃ</v>
      </c>
      <c r="D739" t="str">
        <f t="shared" si="197"/>
        <v>（航空会社）</v>
      </c>
      <c r="E739" t="str">
        <f t="shared" si="198"/>
        <v xml:space="preserve"> 〔名〕 航空公司</v>
      </c>
    </row>
    <row r="740" spans="1:5" x14ac:dyDescent="0.15">
      <c r="A740">
        <f>ROW()</f>
        <v>740</v>
      </c>
      <c r="B740" s="27" t="s">
        <v>971</v>
      </c>
      <c r="C740" t="str">
        <f t="shared" si="196"/>
        <v>えいぎょうぶ</v>
      </c>
      <c r="D740" t="str">
        <f t="shared" si="197"/>
        <v>（営業部）</v>
      </c>
      <c r="E740" t="str">
        <f t="shared" si="198"/>
        <v xml:space="preserve"> 〔名〕 营业部</v>
      </c>
    </row>
    <row r="741" spans="1:5" x14ac:dyDescent="0.15">
      <c r="A741">
        <f>ROW()</f>
        <v>741</v>
      </c>
      <c r="B741" s="27" t="s">
        <v>1288</v>
      </c>
      <c r="C741" t="str">
        <f t="shared" si="196"/>
        <v>アイティーさんぎょう</v>
      </c>
      <c r="D741" t="str">
        <f t="shared" si="197"/>
        <v>（ＩＴ産業）</v>
      </c>
      <c r="E741" t="str">
        <f t="shared" si="198"/>
        <v xml:space="preserve"> 〔名〕 IT产业，信息技术产业</v>
      </c>
    </row>
    <row r="742" spans="1:5" x14ac:dyDescent="0.15">
      <c r="A742">
        <f>ROW()</f>
        <v>742</v>
      </c>
      <c r="B742" s="27" t="s">
        <v>972</v>
      </c>
      <c r="C742" t="str">
        <f t="shared" si="196"/>
        <v>せいひん</v>
      </c>
      <c r="D742" t="str">
        <f t="shared" si="197"/>
        <v>（製品）</v>
      </c>
      <c r="E742" t="str">
        <f t="shared" si="198"/>
        <v xml:space="preserve"> 〔名〕 产品</v>
      </c>
    </row>
    <row r="743" spans="1:5" x14ac:dyDescent="0.15">
      <c r="A743">
        <f>ROW()</f>
        <v>743</v>
      </c>
      <c r="B743" s="27" t="s">
        <v>973</v>
      </c>
      <c r="C743" t="str">
        <f t="shared" si="196"/>
        <v>けんちくか</v>
      </c>
      <c r="D743" t="str">
        <f t="shared" si="197"/>
        <v>（建築家）</v>
      </c>
      <c r="E743" t="str">
        <f t="shared" si="198"/>
        <v xml:space="preserve"> 〔名〕 建筑师</v>
      </c>
    </row>
    <row r="744" spans="1:5" x14ac:dyDescent="0.15">
      <c r="A744">
        <f>ROW()</f>
        <v>744</v>
      </c>
      <c r="B744" s="27" t="s">
        <v>974</v>
      </c>
      <c r="C744" t="str">
        <f t="shared" si="196"/>
        <v>せっけい</v>
      </c>
      <c r="D744" t="str">
        <f t="shared" si="197"/>
        <v>（設計）</v>
      </c>
      <c r="E744" t="str">
        <f t="shared" si="198"/>
        <v xml:space="preserve"> 〔名〕 设计</v>
      </c>
    </row>
    <row r="745" spans="1:5" x14ac:dyDescent="0.15">
      <c r="A745">
        <f>ROW()</f>
        <v>745</v>
      </c>
      <c r="B745" s="27" t="s">
        <v>975</v>
      </c>
      <c r="C745" t="str">
        <f>LEFT(B745,FIND(" ",B745)-1)</f>
        <v>デザイン</v>
      </c>
      <c r="E745" t="str">
        <f>RIGHT(B745,LEN(B745)-FIND(" ",B745))</f>
        <v>〔名〕 设计（图），（制作）图案</v>
      </c>
    </row>
    <row r="746" spans="1:5" x14ac:dyDescent="0.15">
      <c r="A746">
        <f>ROW()</f>
        <v>746</v>
      </c>
      <c r="B746" s="27" t="s">
        <v>976</v>
      </c>
      <c r="C746" t="str">
        <f t="shared" si="196"/>
        <v>かたち</v>
      </c>
      <c r="D746" t="str">
        <f t="shared" si="197"/>
        <v>（形）</v>
      </c>
      <c r="E746" t="str">
        <f t="shared" si="198"/>
        <v xml:space="preserve"> 〔名〕 造型，形状，形式</v>
      </c>
    </row>
    <row r="747" spans="1:5" x14ac:dyDescent="0.15">
      <c r="A747">
        <f>ROW()</f>
        <v>747</v>
      </c>
      <c r="B747" s="27" t="s">
        <v>977</v>
      </c>
      <c r="C747" t="str">
        <f t="shared" si="196"/>
        <v>さいしん</v>
      </c>
      <c r="D747" t="str">
        <f t="shared" si="197"/>
        <v>（最新）</v>
      </c>
      <c r="E747" t="str">
        <f t="shared" si="198"/>
        <v xml:space="preserve"> 〔名〕 最新</v>
      </c>
    </row>
    <row r="748" spans="1:5" x14ac:dyDescent="0.15">
      <c r="A748">
        <f>ROW()</f>
        <v>748</v>
      </c>
      <c r="B748" s="27" t="s">
        <v>978</v>
      </c>
      <c r="C748" t="str">
        <f t="shared" ref="C748" si="205">LEFT(B748,FIND("〔",B748)-1)</f>
        <v xml:space="preserve">ネクタイ </v>
      </c>
      <c r="E748" t="str">
        <f t="shared" ref="E748" si="206">RIGHT(B748,LEN(B748)-FIND("〔",B748)+1)</f>
        <v>〔名〕 领带</v>
      </c>
    </row>
    <row r="749" spans="1:5" x14ac:dyDescent="0.15">
      <c r="A749">
        <f>ROW()</f>
        <v>749</v>
      </c>
      <c r="B749" s="27" t="s">
        <v>979</v>
      </c>
      <c r="C749" t="str">
        <f t="shared" si="196"/>
        <v>さいふ</v>
      </c>
      <c r="D749" t="str">
        <f t="shared" si="197"/>
        <v>（財布）</v>
      </c>
      <c r="E749" t="str">
        <f t="shared" si="198"/>
        <v xml:space="preserve"> 〔名〕 钱包</v>
      </c>
    </row>
    <row r="750" spans="1:5" x14ac:dyDescent="0.15">
      <c r="A750">
        <f>ROW()</f>
        <v>750</v>
      </c>
      <c r="B750" s="27" t="s">
        <v>980</v>
      </c>
      <c r="C750" t="str">
        <f t="shared" si="196"/>
        <v>かわ</v>
      </c>
      <c r="D750" t="str">
        <f t="shared" si="197"/>
        <v>（革）</v>
      </c>
      <c r="E750" t="str">
        <f t="shared" si="198"/>
        <v xml:space="preserve"> 〔名〕 革，皮革</v>
      </c>
    </row>
    <row r="751" spans="1:5" x14ac:dyDescent="0.15">
      <c r="A751">
        <f>ROW()</f>
        <v>751</v>
      </c>
      <c r="B751" s="27" t="s">
        <v>981</v>
      </c>
      <c r="C751" t="str">
        <f t="shared" si="196"/>
        <v>ぬの</v>
      </c>
      <c r="D751" t="str">
        <f t="shared" si="197"/>
        <v>（布）</v>
      </c>
      <c r="E751" t="str">
        <f t="shared" si="198"/>
        <v xml:space="preserve"> 〔名〕 布，布匹</v>
      </c>
    </row>
    <row r="752" spans="1:5" x14ac:dyDescent="0.15">
      <c r="A752">
        <f>ROW()</f>
        <v>752</v>
      </c>
      <c r="B752" s="27" t="s">
        <v>982</v>
      </c>
      <c r="C752" t="str">
        <f t="shared" si="196"/>
        <v>すいとう</v>
      </c>
      <c r="D752" t="str">
        <f t="shared" si="197"/>
        <v>（水筒）</v>
      </c>
      <c r="E752" t="str">
        <f t="shared" si="198"/>
        <v xml:space="preserve"> 〔名〕 水壶，水筒</v>
      </c>
    </row>
    <row r="753" spans="1:5" x14ac:dyDescent="0.15">
      <c r="A753">
        <f>ROW()</f>
        <v>753</v>
      </c>
      <c r="B753" s="27" t="s">
        <v>983</v>
      </c>
      <c r="C753" t="str">
        <f t="shared" si="196"/>
        <v>みどり</v>
      </c>
      <c r="D753" t="str">
        <f t="shared" si="197"/>
        <v>（緑）</v>
      </c>
      <c r="E753" t="str">
        <f t="shared" si="198"/>
        <v xml:space="preserve"> 〔名〕 绿，绿色</v>
      </c>
    </row>
    <row r="754" spans="1:5" x14ac:dyDescent="0.15">
      <c r="A754">
        <f>ROW()</f>
        <v>754</v>
      </c>
      <c r="B754" s="27" t="s">
        <v>984</v>
      </c>
      <c r="C754" t="str">
        <f t="shared" si="196"/>
        <v>あし</v>
      </c>
      <c r="D754" t="str">
        <f t="shared" si="197"/>
        <v>（足）</v>
      </c>
      <c r="E754" t="str">
        <f t="shared" si="198"/>
        <v xml:space="preserve"> 〔名〕 脚</v>
      </c>
    </row>
    <row r="755" spans="1:5" x14ac:dyDescent="0.15">
      <c r="A755">
        <f>ROW()</f>
        <v>755</v>
      </c>
      <c r="B755" s="27" t="s">
        <v>985</v>
      </c>
      <c r="C755" t="str">
        <f t="shared" si="196"/>
        <v>ゆび</v>
      </c>
      <c r="D755" t="str">
        <f t="shared" si="197"/>
        <v>（指）</v>
      </c>
      <c r="E755" t="str">
        <f t="shared" si="198"/>
        <v xml:space="preserve"> 〔名〕 手指，指头</v>
      </c>
    </row>
    <row r="756" spans="1:5" x14ac:dyDescent="0.15">
      <c r="A756">
        <f>ROW()</f>
        <v>756</v>
      </c>
      <c r="B756" s="27" t="s">
        <v>986</v>
      </c>
      <c r="C756" t="str">
        <f t="shared" si="196"/>
        <v>め</v>
      </c>
      <c r="D756" t="str">
        <f t="shared" si="197"/>
        <v>（目）</v>
      </c>
      <c r="E756" t="str">
        <f t="shared" si="198"/>
        <v xml:space="preserve"> 〔名〕 眼，眼睛</v>
      </c>
    </row>
    <row r="757" spans="1:5" x14ac:dyDescent="0.15">
      <c r="A757">
        <f>ROW()</f>
        <v>757</v>
      </c>
      <c r="B757" s="27" t="s">
        <v>987</v>
      </c>
      <c r="C757" t="str">
        <f t="shared" si="196"/>
        <v>はな</v>
      </c>
      <c r="D757" t="str">
        <f t="shared" si="197"/>
        <v>（鼻）</v>
      </c>
      <c r="E757" t="str">
        <f t="shared" si="198"/>
        <v xml:space="preserve"> 〔名〕 鼻，鼻子</v>
      </c>
    </row>
    <row r="758" spans="1:5" x14ac:dyDescent="0.15">
      <c r="A758">
        <f>ROW()</f>
        <v>758</v>
      </c>
      <c r="B758" s="27" t="s">
        <v>988</v>
      </c>
      <c r="C758" t="str">
        <f t="shared" si="196"/>
        <v>かお</v>
      </c>
      <c r="D758" t="str">
        <f t="shared" si="197"/>
        <v>（顔）</v>
      </c>
      <c r="E758" t="str">
        <f t="shared" si="198"/>
        <v xml:space="preserve"> 〔名〕 脸，颜面</v>
      </c>
    </row>
    <row r="759" spans="1:5" x14ac:dyDescent="0.15">
      <c r="A759">
        <f>ROW()</f>
        <v>759</v>
      </c>
      <c r="B759" s="27" t="s">
        <v>989</v>
      </c>
      <c r="C759" t="str">
        <f t="shared" si="196"/>
        <v>あたま</v>
      </c>
      <c r="D759" t="str">
        <f t="shared" si="197"/>
        <v>（頭）</v>
      </c>
      <c r="E759" t="str">
        <f t="shared" si="198"/>
        <v xml:space="preserve"> 〔名〕 头，头脑</v>
      </c>
    </row>
    <row r="760" spans="1:5" x14ac:dyDescent="0.15">
      <c r="A760">
        <f>ROW()</f>
        <v>760</v>
      </c>
      <c r="B760" s="27" t="s">
        <v>990</v>
      </c>
      <c r="C760" t="str">
        <f t="shared" si="196"/>
        <v>アイディーカード</v>
      </c>
      <c r="D760" t="str">
        <f t="shared" si="197"/>
        <v>（ＩＤ～）</v>
      </c>
      <c r="E760" t="str">
        <f t="shared" si="198"/>
        <v xml:space="preserve"> 〔名〕 身份证件</v>
      </c>
    </row>
    <row r="761" spans="1:5" x14ac:dyDescent="0.15">
      <c r="A761">
        <f>ROW()</f>
        <v>761</v>
      </c>
      <c r="B761" s="27" t="s">
        <v>991</v>
      </c>
      <c r="C761" t="str">
        <f t="shared" si="196"/>
        <v>まちがい</v>
      </c>
      <c r="D761" t="str">
        <f t="shared" si="197"/>
        <v>（間違い）</v>
      </c>
      <c r="E761" t="str">
        <f t="shared" si="198"/>
        <v xml:space="preserve"> 〔名〕 错误，失误</v>
      </c>
    </row>
    <row r="762" spans="1:5" x14ac:dyDescent="0.15">
      <c r="A762">
        <f>ROW()</f>
        <v>762</v>
      </c>
      <c r="B762" s="27" t="s">
        <v>992</v>
      </c>
      <c r="C762" t="str">
        <f t="shared" si="196"/>
        <v>もんだい</v>
      </c>
      <c r="D762" t="str">
        <f t="shared" si="197"/>
        <v>（問題）</v>
      </c>
      <c r="E762" t="str">
        <f t="shared" si="198"/>
        <v xml:space="preserve"> 〔名〕 问题</v>
      </c>
    </row>
    <row r="763" spans="1:5" x14ac:dyDescent="0.15">
      <c r="A763">
        <f>ROW()</f>
        <v>763</v>
      </c>
      <c r="B763" s="27" t="s">
        <v>993</v>
      </c>
      <c r="C763" t="str">
        <f t="shared" si="196"/>
        <v>こうこく</v>
      </c>
      <c r="D763" t="str">
        <f t="shared" si="197"/>
        <v>（広告）</v>
      </c>
      <c r="E763" t="str">
        <f t="shared" si="198"/>
        <v xml:space="preserve"> 〔名〕 广告</v>
      </c>
    </row>
    <row r="764" spans="1:5" x14ac:dyDescent="0.15">
      <c r="A764">
        <f>ROW()</f>
        <v>764</v>
      </c>
      <c r="B764" s="27" t="s">
        <v>994</v>
      </c>
      <c r="C764" t="str">
        <f t="shared" si="196"/>
        <v>かんばん</v>
      </c>
      <c r="D764" t="str">
        <f t="shared" si="197"/>
        <v>（看板）</v>
      </c>
      <c r="E764" t="str">
        <f t="shared" si="198"/>
        <v xml:space="preserve"> 〔名〕 牌子</v>
      </c>
    </row>
    <row r="765" spans="1:5" x14ac:dyDescent="0.15">
      <c r="A765">
        <f>ROW()</f>
        <v>765</v>
      </c>
      <c r="B765" s="27" t="s">
        <v>995</v>
      </c>
      <c r="C765" t="str">
        <f t="shared" si="196"/>
        <v>てんじじょう</v>
      </c>
      <c r="D765" t="str">
        <f t="shared" si="197"/>
        <v>（展示場）</v>
      </c>
      <c r="E765" t="str">
        <f t="shared" si="198"/>
        <v xml:space="preserve"> 〔名〕 展览会场</v>
      </c>
    </row>
    <row r="766" spans="1:5" x14ac:dyDescent="0.15">
      <c r="A766">
        <f>ROW()</f>
        <v>766</v>
      </c>
      <c r="B766" s="27" t="s">
        <v>1289</v>
      </c>
      <c r="C766" t="str">
        <f t="shared" si="196"/>
        <v>にゅうじょうりょう</v>
      </c>
      <c r="D766" t="str">
        <f t="shared" si="197"/>
        <v>（入場料）</v>
      </c>
      <c r="E766" t="str">
        <f t="shared" si="198"/>
        <v xml:space="preserve"> 〔名〕 门票，进场费</v>
      </c>
    </row>
    <row r="767" spans="1:5" x14ac:dyDescent="0.15">
      <c r="A767">
        <f>ROW()</f>
        <v>767</v>
      </c>
      <c r="B767" s="27" t="s">
        <v>996</v>
      </c>
      <c r="C767" t="str">
        <f t="shared" ref="C767" si="207">LEFT(B767,FIND("〔",B767)-1)</f>
        <v xml:space="preserve">サービス </v>
      </c>
      <c r="E767" t="str">
        <f t="shared" ref="E767" si="208">RIGHT(B767,LEN(B767)-FIND("〔",B767)+1)</f>
        <v>〔名〕 服务</v>
      </c>
    </row>
    <row r="768" spans="1:5" x14ac:dyDescent="0.15">
      <c r="A768">
        <f>ROW()</f>
        <v>768</v>
      </c>
      <c r="B768" s="27" t="s">
        <v>997</v>
      </c>
      <c r="C768" t="str">
        <f t="shared" ref="C768:C825" si="209">LEFT(B768,FIND("（",B768)-1)</f>
        <v>てんじょう</v>
      </c>
      <c r="D768" t="str">
        <f t="shared" ref="D768:D825" si="210">MID(B768,FIND("（",B768),FIND("）",B768)-FIND("（",B768)+1)</f>
        <v>（天井）</v>
      </c>
      <c r="E768" t="str">
        <f t="shared" ref="E768:E825" si="211">RIGHT(B768,LEN(B768)-FIND("）",B768))</f>
        <v xml:space="preserve"> 〔名〕 天棚</v>
      </c>
    </row>
    <row r="769" spans="1:5" x14ac:dyDescent="0.15">
      <c r="A769">
        <f>ROW()</f>
        <v>769</v>
      </c>
      <c r="B769" s="27" t="s">
        <v>998</v>
      </c>
      <c r="C769" t="str">
        <f t="shared" si="209"/>
        <v>けいび</v>
      </c>
      <c r="D769" t="str">
        <f t="shared" si="210"/>
        <v>（警備）</v>
      </c>
      <c r="E769" t="str">
        <f t="shared" si="211"/>
        <v xml:space="preserve"> 〔名〕 戒备，警备</v>
      </c>
    </row>
    <row r="770" spans="1:5" x14ac:dyDescent="0.15">
      <c r="A770">
        <f>ROW()</f>
        <v>770</v>
      </c>
      <c r="B770" s="27" t="s">
        <v>999</v>
      </c>
      <c r="C770" t="str">
        <f t="shared" ref="C770" si="212">LEFT(B770,FIND("〔",B770)-1)</f>
        <v xml:space="preserve">クリスマスシリー </v>
      </c>
      <c r="E770" t="str">
        <f t="shared" ref="E770" si="213">RIGHT(B770,LEN(B770)-FIND("〔",B770)+1)</f>
        <v>〔名〕 圣诞树</v>
      </c>
    </row>
    <row r="771" spans="1:5" x14ac:dyDescent="0.15">
      <c r="A771">
        <f>ROW()</f>
        <v>771</v>
      </c>
      <c r="B771" s="27" t="s">
        <v>1000</v>
      </c>
      <c r="C771" t="str">
        <f t="shared" si="209"/>
        <v>オーストラリアじん</v>
      </c>
      <c r="D771" t="str">
        <f t="shared" si="210"/>
        <v>（～人）</v>
      </c>
      <c r="E771" t="str">
        <f t="shared" si="211"/>
        <v xml:space="preserve"> 〔名〕 澳大利亚人</v>
      </c>
    </row>
    <row r="772" spans="1:5" x14ac:dyDescent="0.15">
      <c r="A772">
        <f>ROW()</f>
        <v>772</v>
      </c>
      <c r="B772" s="27" t="s">
        <v>1001</v>
      </c>
      <c r="C772" t="str">
        <f t="shared" si="209"/>
        <v>みなさん</v>
      </c>
      <c r="D772" t="str">
        <f t="shared" si="210"/>
        <v>（皆さん）</v>
      </c>
      <c r="E772" t="str">
        <f t="shared" si="211"/>
        <v xml:space="preserve"> 〔名〕 大家，诸位</v>
      </c>
    </row>
    <row r="773" spans="1:5" x14ac:dyDescent="0.15">
      <c r="A773">
        <f>ROW()</f>
        <v>773</v>
      </c>
      <c r="B773" s="27" t="s">
        <v>1002</v>
      </c>
      <c r="C773" t="str">
        <f t="shared" si="209"/>
        <v>こ</v>
      </c>
      <c r="D773" t="str">
        <f t="shared" si="210"/>
        <v>（子）</v>
      </c>
      <c r="E773" t="str">
        <f t="shared" si="211"/>
        <v xml:space="preserve"> 〔名〕 孩子</v>
      </c>
    </row>
    <row r="774" spans="1:5" x14ac:dyDescent="0.15">
      <c r="A774">
        <f>ROW()</f>
        <v>774</v>
      </c>
      <c r="B774" s="27" t="s">
        <v>1003</v>
      </c>
      <c r="C774" t="str">
        <f t="shared" si="209"/>
        <v>よこ</v>
      </c>
      <c r="D774" t="str">
        <f t="shared" si="210"/>
        <v>（横）</v>
      </c>
      <c r="E774" t="str">
        <f t="shared" si="211"/>
        <v xml:space="preserve"> 〔名〕 旁边，侧面</v>
      </c>
    </row>
    <row r="775" spans="1:5" x14ac:dyDescent="0.15">
      <c r="A775">
        <f>ROW()</f>
        <v>775</v>
      </c>
      <c r="B775" s="27" t="s">
        <v>1004</v>
      </c>
      <c r="C775" t="str">
        <f t="shared" si="209"/>
        <v>もちます</v>
      </c>
      <c r="D775" t="str">
        <f t="shared" si="210"/>
        <v>（持ちます）</v>
      </c>
      <c r="E775" t="str">
        <f t="shared" si="211"/>
        <v xml:space="preserve"> 〔动1〕 有，拥有，持有</v>
      </c>
    </row>
    <row r="776" spans="1:5" x14ac:dyDescent="0.15">
      <c r="A776">
        <f>ROW()</f>
        <v>776</v>
      </c>
      <c r="B776" s="27" t="s">
        <v>1005</v>
      </c>
      <c r="C776" t="str">
        <f t="shared" si="209"/>
        <v>すみます</v>
      </c>
      <c r="D776" t="str">
        <f t="shared" si="210"/>
        <v>（住みます）</v>
      </c>
      <c r="E776" t="str">
        <f t="shared" si="211"/>
        <v xml:space="preserve"> 〔动1〕 住，居住</v>
      </c>
    </row>
    <row r="777" spans="1:5" x14ac:dyDescent="0.15">
      <c r="A777">
        <f>ROW()</f>
        <v>777</v>
      </c>
      <c r="B777" s="27" t="s">
        <v>1006</v>
      </c>
      <c r="C777" t="str">
        <f t="shared" si="209"/>
        <v>しります</v>
      </c>
      <c r="D777" t="str">
        <f t="shared" si="210"/>
        <v>（知ります）</v>
      </c>
      <c r="E777" t="str">
        <f t="shared" si="211"/>
        <v xml:space="preserve"> 〔动1〕 认识，知道，了解</v>
      </c>
    </row>
    <row r="778" spans="1:5" x14ac:dyDescent="0.15">
      <c r="A778">
        <f>ROW()</f>
        <v>778</v>
      </c>
      <c r="B778" s="27" t="s">
        <v>1007</v>
      </c>
      <c r="C778" t="str">
        <f t="shared" si="209"/>
        <v>なおします</v>
      </c>
      <c r="D778" t="str">
        <f t="shared" si="210"/>
        <v>（直します）</v>
      </c>
      <c r="E778" t="str">
        <f t="shared" si="211"/>
        <v xml:space="preserve"> 〔动1〕 改，修改，改正</v>
      </c>
    </row>
    <row r="779" spans="1:5" x14ac:dyDescent="0.15">
      <c r="A779">
        <f>ROW()</f>
        <v>779</v>
      </c>
      <c r="B779" s="27" t="s">
        <v>1008</v>
      </c>
      <c r="C779" t="str">
        <f t="shared" si="209"/>
        <v>かたづけます</v>
      </c>
      <c r="D779" t="str">
        <f t="shared" si="210"/>
        <v>（片づけます）</v>
      </c>
      <c r="E779" t="str">
        <f t="shared" si="211"/>
        <v xml:space="preserve"> 〔动2〕 收拾，整理</v>
      </c>
    </row>
    <row r="780" spans="1:5" x14ac:dyDescent="0.15">
      <c r="A780">
        <f>ROW()</f>
        <v>780</v>
      </c>
      <c r="B780" s="27" t="s">
        <v>1009</v>
      </c>
      <c r="C780" t="str">
        <f t="shared" si="209"/>
        <v>れんしゅうします</v>
      </c>
      <c r="D780" t="str">
        <f t="shared" si="210"/>
        <v>（練習～）</v>
      </c>
      <c r="E780" t="str">
        <f t="shared" si="211"/>
        <v xml:space="preserve"> 〔动3〕 练习</v>
      </c>
    </row>
    <row r="781" spans="1:5" x14ac:dyDescent="0.15">
      <c r="A781">
        <f>ROW()</f>
        <v>781</v>
      </c>
      <c r="B781" s="27" t="s">
        <v>1010</v>
      </c>
      <c r="C781" t="str">
        <f t="shared" si="209"/>
        <v>けっこんします</v>
      </c>
      <c r="D781" t="str">
        <f t="shared" si="210"/>
        <v>（結婚～）</v>
      </c>
      <c r="E781" t="str">
        <f t="shared" si="211"/>
        <v xml:space="preserve"> 〔动3〕 结婚</v>
      </c>
    </row>
    <row r="782" spans="1:5" x14ac:dyDescent="0.15">
      <c r="A782">
        <f>ROW()</f>
        <v>782</v>
      </c>
      <c r="B782" s="27" t="s">
        <v>1011</v>
      </c>
      <c r="C782" t="str">
        <f t="shared" si="209"/>
        <v>あんしんします</v>
      </c>
      <c r="D782" t="str">
        <f t="shared" si="210"/>
        <v>（安心～）</v>
      </c>
      <c r="E782" t="str">
        <f t="shared" si="211"/>
        <v xml:space="preserve"> 〔动3〕 安心，放心</v>
      </c>
    </row>
    <row r="783" spans="1:5" x14ac:dyDescent="0.15">
      <c r="A783">
        <f>ROW()</f>
        <v>783</v>
      </c>
      <c r="B783" s="27" t="s">
        <v>1012</v>
      </c>
      <c r="C783" t="str">
        <f t="shared" si="209"/>
        <v>あかるい</v>
      </c>
      <c r="D783" t="str">
        <f t="shared" si="210"/>
        <v>（明るい）</v>
      </c>
      <c r="E783" t="str">
        <f t="shared" si="211"/>
        <v xml:space="preserve"> 〔形1〕 明亮，开朗</v>
      </c>
    </row>
    <row r="784" spans="1:5" x14ac:dyDescent="0.15">
      <c r="A784">
        <f>ROW()</f>
        <v>784</v>
      </c>
      <c r="B784" s="27" t="s">
        <v>1013</v>
      </c>
      <c r="C784" t="str">
        <f t="shared" si="209"/>
        <v>ながい</v>
      </c>
      <c r="D784" t="str">
        <f t="shared" si="210"/>
        <v>（長い）</v>
      </c>
      <c r="E784" t="str">
        <f t="shared" si="211"/>
        <v xml:space="preserve"> 〔形1〕 长，长久，长远</v>
      </c>
    </row>
    <row r="785" spans="1:5" x14ac:dyDescent="0.15">
      <c r="A785">
        <f>ROW()</f>
        <v>785</v>
      </c>
      <c r="B785" s="27" t="s">
        <v>1014</v>
      </c>
      <c r="C785" t="str">
        <f t="shared" si="209"/>
        <v>みじかい</v>
      </c>
      <c r="D785" t="str">
        <f t="shared" si="210"/>
        <v>（短い）</v>
      </c>
      <c r="E785" t="str">
        <f t="shared" si="211"/>
        <v xml:space="preserve"> 〔形1〕 短，短暂</v>
      </c>
    </row>
    <row r="786" spans="1:5" x14ac:dyDescent="0.15">
      <c r="A786">
        <f>ROW()</f>
        <v>786</v>
      </c>
      <c r="B786" s="27" t="s">
        <v>1015</v>
      </c>
      <c r="C786" t="str">
        <f t="shared" si="209"/>
        <v>かるい</v>
      </c>
      <c r="D786" t="str">
        <f t="shared" si="210"/>
        <v>（軽い）</v>
      </c>
      <c r="E786" t="str">
        <f t="shared" si="211"/>
        <v xml:space="preserve"> 〔形1〕 轻巧，轻，轻松，轻微</v>
      </c>
    </row>
    <row r="787" spans="1:5" x14ac:dyDescent="0.15">
      <c r="A787">
        <f>ROW()</f>
        <v>787</v>
      </c>
      <c r="B787" s="27" t="s">
        <v>1016</v>
      </c>
      <c r="C787" t="str">
        <f t="shared" si="209"/>
        <v>やさしい</v>
      </c>
      <c r="D787" t="str">
        <f t="shared" si="210"/>
        <v>（優しい）</v>
      </c>
      <c r="E787" t="str">
        <f t="shared" si="211"/>
        <v xml:space="preserve"> 〔形1〕 和蔼，温和，体贴</v>
      </c>
    </row>
    <row r="788" spans="1:5" x14ac:dyDescent="0.15">
      <c r="A788">
        <f>ROW()</f>
        <v>788</v>
      </c>
      <c r="B788" s="27" t="s">
        <v>1017</v>
      </c>
      <c r="C788" t="str">
        <f t="shared" si="209"/>
        <v>ほそい</v>
      </c>
      <c r="D788" t="str">
        <f t="shared" si="210"/>
        <v>（細い）</v>
      </c>
      <c r="E788" t="str">
        <f t="shared" si="211"/>
        <v xml:space="preserve"> 〔形1〕 小，细长，纤细</v>
      </c>
    </row>
    <row r="789" spans="1:5" x14ac:dyDescent="0.15">
      <c r="A789">
        <f>ROW()</f>
        <v>789</v>
      </c>
      <c r="B789" s="27" t="s">
        <v>1018</v>
      </c>
      <c r="C789" t="str">
        <f t="shared" si="209"/>
        <v>ふとい</v>
      </c>
      <c r="D789" t="str">
        <f t="shared" si="210"/>
        <v>（太い）</v>
      </c>
      <c r="E789" t="str">
        <f t="shared" si="211"/>
        <v xml:space="preserve"> 〔形1〕 粗，胖</v>
      </c>
    </row>
    <row r="790" spans="1:5" x14ac:dyDescent="0.15">
      <c r="A790">
        <f>ROW()</f>
        <v>790</v>
      </c>
      <c r="B790" s="27" t="s">
        <v>1019</v>
      </c>
      <c r="C790" t="str">
        <f t="shared" si="209"/>
        <v>くろい</v>
      </c>
      <c r="D790" t="str">
        <f t="shared" si="210"/>
        <v>（黒い）</v>
      </c>
      <c r="E790" t="str">
        <f t="shared" si="211"/>
        <v xml:space="preserve"> 〔形1〕 黑，黑色</v>
      </c>
    </row>
    <row r="791" spans="1:5" x14ac:dyDescent="0.15">
      <c r="A791">
        <f>ROW()</f>
        <v>791</v>
      </c>
      <c r="B791" s="27" t="s">
        <v>1020</v>
      </c>
      <c r="C791" t="str">
        <f t="shared" ref="C791" si="214">LEFT(B791,FIND("〔",B791)-1)</f>
        <v xml:space="preserve">ユニーク </v>
      </c>
      <c r="E791" t="str">
        <f t="shared" ref="E791" si="215">RIGHT(B791,LEN(B791)-FIND("〔",B791)+1)</f>
        <v>〔形2〕 独特，唯一</v>
      </c>
    </row>
    <row r="792" spans="1:5" x14ac:dyDescent="0.15">
      <c r="A792">
        <f>ROW()</f>
        <v>792</v>
      </c>
      <c r="B792" s="27" t="s">
        <v>1021</v>
      </c>
      <c r="C792" t="str">
        <f t="shared" si="209"/>
        <v>あんぜん</v>
      </c>
      <c r="D792" t="str">
        <f t="shared" si="210"/>
        <v>（安全）</v>
      </c>
      <c r="E792" t="str">
        <f t="shared" si="211"/>
        <v xml:space="preserve"> 〔形2〕 安全</v>
      </c>
    </row>
    <row r="793" spans="1:5" x14ac:dyDescent="0.15">
      <c r="A793">
        <f>ROW()</f>
        <v>793</v>
      </c>
      <c r="B793" s="27" t="s">
        <v>1022</v>
      </c>
      <c r="C793" t="str">
        <f t="shared" si="209"/>
        <v>はで</v>
      </c>
      <c r="D793" t="str">
        <f t="shared" si="210"/>
        <v>（派手）</v>
      </c>
      <c r="E793" t="str">
        <f t="shared" si="211"/>
        <v xml:space="preserve"> 〔形2〕 耀眼，花哨</v>
      </c>
    </row>
    <row r="794" spans="1:5" x14ac:dyDescent="0.15">
      <c r="A794">
        <f>ROW()</f>
        <v>794</v>
      </c>
      <c r="B794" s="27" t="s">
        <v>1023</v>
      </c>
      <c r="C794" t="str">
        <f t="shared" si="209"/>
        <v>じみ</v>
      </c>
      <c r="D794" t="str">
        <f t="shared" si="210"/>
        <v>（地味）</v>
      </c>
      <c r="E794" t="str">
        <f t="shared" si="211"/>
        <v xml:space="preserve"> 〔形2〕 朴素，质朴</v>
      </c>
    </row>
    <row r="795" spans="1:5" x14ac:dyDescent="0.15">
      <c r="A795">
        <f>ROW()</f>
        <v>795</v>
      </c>
      <c r="B795" s="27" t="s">
        <v>1024</v>
      </c>
      <c r="C795" t="str">
        <f t="shared" si="209"/>
        <v>げんじゅう</v>
      </c>
      <c r="D795" t="str">
        <f t="shared" si="210"/>
        <v>（厳重）</v>
      </c>
      <c r="E795" t="str">
        <f t="shared" si="211"/>
        <v xml:space="preserve"> 〔形2〕 森严；严格</v>
      </c>
    </row>
    <row r="796" spans="1:5" x14ac:dyDescent="0.15">
      <c r="A796">
        <f>ROW()</f>
        <v>796</v>
      </c>
      <c r="B796" s="27" t="s">
        <v>1025</v>
      </c>
      <c r="C796" t="str">
        <f t="shared" ref="C796" si="216">LEFT(B796,FIND("〔",B796)-1)</f>
        <v xml:space="preserve">まじめ </v>
      </c>
      <c r="E796" t="str">
        <f t="shared" ref="E796" si="217">RIGHT(B796,LEN(B796)-FIND("〔",B796)+1)</f>
        <v>〔形2〕 认真；严肃</v>
      </c>
    </row>
    <row r="797" spans="1:5" x14ac:dyDescent="0.15">
      <c r="A797">
        <f>ROW()</f>
        <v>797</v>
      </c>
      <c r="B797" s="27" t="s">
        <v>1026</v>
      </c>
      <c r="C797" t="str">
        <f t="shared" si="209"/>
        <v>たいせつ</v>
      </c>
      <c r="D797" t="str">
        <f t="shared" si="210"/>
        <v>（大切）</v>
      </c>
      <c r="E797" t="str">
        <f t="shared" si="211"/>
        <v xml:space="preserve"> 〔形2〕 重要，珍贵</v>
      </c>
    </row>
    <row r="798" spans="1:5" x14ac:dyDescent="0.15">
      <c r="A798">
        <f>ROW()</f>
        <v>798</v>
      </c>
      <c r="B798" s="27" t="s">
        <v>1027</v>
      </c>
      <c r="C798" t="str">
        <f t="shared" si="209"/>
        <v>ふくざつ</v>
      </c>
      <c r="D798" t="str">
        <f t="shared" si="210"/>
        <v>（複雑）</v>
      </c>
      <c r="E798" t="str">
        <f t="shared" si="211"/>
        <v xml:space="preserve"> 〔形2〕 复杂，繁杂</v>
      </c>
    </row>
    <row r="799" spans="1:5" x14ac:dyDescent="0.15">
      <c r="A799">
        <f>ROW()</f>
        <v>799</v>
      </c>
      <c r="B799" s="27" t="s">
        <v>1028</v>
      </c>
      <c r="C799" t="str">
        <f t="shared" ref="C799:C802" si="218">LEFT(B799,FIND("〔",B799)-1)</f>
        <v xml:space="preserve">ちゃんと </v>
      </c>
      <c r="E799" t="str">
        <f t="shared" ref="E799:E802" si="219">RIGHT(B799,LEN(B799)-FIND("〔",B799)+1)</f>
        <v>〔副〕 好好地，的确，完全</v>
      </c>
    </row>
    <row r="800" spans="1:5" x14ac:dyDescent="0.15">
      <c r="A800">
        <f>ROW()</f>
        <v>800</v>
      </c>
      <c r="B800" s="27" t="s">
        <v>1029</v>
      </c>
      <c r="C800" t="str">
        <f t="shared" si="218"/>
        <v xml:space="preserve">すぐ </v>
      </c>
      <c r="E800" t="str">
        <f t="shared" si="219"/>
        <v>〔副〕 马上，立即</v>
      </c>
    </row>
    <row r="801" spans="1:5" x14ac:dyDescent="0.15">
      <c r="A801">
        <f>ROW()</f>
        <v>801</v>
      </c>
      <c r="B801" s="27" t="s">
        <v>1030</v>
      </c>
      <c r="C801" t="str">
        <f t="shared" si="218"/>
        <v xml:space="preserve">ずいぶん </v>
      </c>
      <c r="E801" t="str">
        <f t="shared" si="219"/>
        <v>〔副〕 相当，非常，很</v>
      </c>
    </row>
    <row r="802" spans="1:5" x14ac:dyDescent="0.15">
      <c r="A802">
        <f>ROW()</f>
        <v>802</v>
      </c>
      <c r="B802" s="27" t="s">
        <v>1031</v>
      </c>
      <c r="C802" t="str">
        <f t="shared" si="218"/>
        <v xml:space="preserve">ほら </v>
      </c>
      <c r="E802" t="str">
        <f t="shared" si="219"/>
        <v>〔叹〕 你看，瞧，喂</v>
      </c>
    </row>
    <row r="803" spans="1:5" x14ac:dyDescent="0.15">
      <c r="A803">
        <f>ROW()</f>
        <v>803</v>
      </c>
      <c r="B803" s="27" t="s">
        <v>1032</v>
      </c>
      <c r="C803" t="str">
        <f t="shared" si="209"/>
        <v>にっちゅうでんき</v>
      </c>
      <c r="D803" t="str">
        <f t="shared" si="210"/>
        <v>（日中電気）</v>
      </c>
      <c r="E803" t="str">
        <f t="shared" si="211"/>
        <v xml:space="preserve"> 〔专〕 日中电器</v>
      </c>
    </row>
    <row r="804" spans="1:5" x14ac:dyDescent="0.15">
      <c r="A804">
        <f>ROW()</f>
        <v>804</v>
      </c>
      <c r="B804" s="27" t="s">
        <v>1033</v>
      </c>
      <c r="C804" t="str">
        <f t="shared" si="209"/>
        <v>あたまがいい</v>
      </c>
      <c r="D804" t="str">
        <f t="shared" si="210"/>
        <v>（頭がいい）</v>
      </c>
      <c r="E804" t="str">
        <f t="shared" si="211"/>
        <v xml:space="preserve"> 脑子好，聪明</v>
      </c>
    </row>
    <row r="805" spans="1:5" x14ac:dyDescent="0.15">
      <c r="A805">
        <f>ROW()</f>
        <v>805</v>
      </c>
      <c r="B805" s="27" t="s">
        <v>1034</v>
      </c>
      <c r="C805" t="str">
        <f t="shared" si="209"/>
        <v>ようふく</v>
      </c>
      <c r="D805" t="str">
        <f t="shared" si="210"/>
        <v>（洋服）</v>
      </c>
      <c r="E805" t="str">
        <f t="shared" si="211"/>
        <v xml:space="preserve"> 〔名〕 西服</v>
      </c>
    </row>
    <row r="806" spans="1:5" x14ac:dyDescent="0.15">
      <c r="A806">
        <f>ROW()</f>
        <v>806</v>
      </c>
      <c r="B806" s="27" t="s">
        <v>1035</v>
      </c>
      <c r="C806" t="str">
        <f t="shared" ref="C806:C808" si="220">LEFT(B806,FIND("〔",B806)-1)</f>
        <v xml:space="preserve">セーター </v>
      </c>
      <c r="E806" t="str">
        <f t="shared" ref="E806:E808" si="221">RIGHT(B806,LEN(B806)-FIND("〔",B806)+1)</f>
        <v>〔名〕 毛衣</v>
      </c>
    </row>
    <row r="807" spans="1:5" x14ac:dyDescent="0.15">
      <c r="A807">
        <f>ROW()</f>
        <v>807</v>
      </c>
      <c r="B807" s="27" t="s">
        <v>1036</v>
      </c>
      <c r="C807" t="str">
        <f t="shared" si="220"/>
        <v xml:space="preserve">ノートパソコン </v>
      </c>
      <c r="E807" t="str">
        <f t="shared" si="221"/>
        <v>〔名〕 笔记本电脑</v>
      </c>
    </row>
    <row r="808" spans="1:5" x14ac:dyDescent="0.15">
      <c r="A808">
        <f>ROW()</f>
        <v>808</v>
      </c>
      <c r="B808" s="27" t="s">
        <v>1037</v>
      </c>
      <c r="C808" t="str">
        <f t="shared" si="220"/>
        <v xml:space="preserve">バイク </v>
      </c>
      <c r="E808" t="str">
        <f t="shared" si="221"/>
        <v>〔名〕 摩托车</v>
      </c>
    </row>
    <row r="809" spans="1:5" x14ac:dyDescent="0.15">
      <c r="A809">
        <f>ROW()</f>
        <v>809</v>
      </c>
      <c r="B809" s="27" t="s">
        <v>1038</v>
      </c>
      <c r="C809" t="str">
        <f t="shared" si="209"/>
        <v>おしるこ</v>
      </c>
      <c r="D809" t="str">
        <f t="shared" si="210"/>
        <v>（お汁粉）</v>
      </c>
      <c r="E809" t="str">
        <f t="shared" si="211"/>
        <v xml:space="preserve"> 〔名〕 年糕小豆汤</v>
      </c>
    </row>
    <row r="810" spans="1:5" x14ac:dyDescent="0.15">
      <c r="A810">
        <f>ROW()</f>
        <v>810</v>
      </c>
      <c r="B810" s="27" t="s">
        <v>1039</v>
      </c>
      <c r="C810" t="str">
        <f t="shared" si="209"/>
        <v>てんぷら</v>
      </c>
      <c r="D810" t="str">
        <f t="shared" si="210"/>
        <v>（天ぷら）</v>
      </c>
      <c r="E810" t="str">
        <f t="shared" si="211"/>
        <v xml:space="preserve"> 〔名〕 天麸罗</v>
      </c>
    </row>
    <row r="811" spans="1:5" x14ac:dyDescent="0.15">
      <c r="A811">
        <f>ROW()</f>
        <v>811</v>
      </c>
      <c r="B811" s="27" t="s">
        <v>1040</v>
      </c>
      <c r="C811" t="str">
        <f t="shared" si="209"/>
        <v>はつもうで</v>
      </c>
      <c r="D811" t="str">
        <f t="shared" si="210"/>
        <v>（初詣）</v>
      </c>
      <c r="E811" t="str">
        <f t="shared" si="211"/>
        <v xml:space="preserve"> 〔名〕 新年后首次参拜</v>
      </c>
    </row>
    <row r="812" spans="1:5" x14ac:dyDescent="0.15">
      <c r="A812">
        <f>ROW()</f>
        <v>812</v>
      </c>
      <c r="B812" s="27" t="s">
        <v>1041</v>
      </c>
      <c r="C812" t="str">
        <f t="shared" si="209"/>
        <v>けんこう</v>
      </c>
      <c r="D812" t="str">
        <f t="shared" si="210"/>
        <v>（健康）</v>
      </c>
      <c r="E812" t="str">
        <f t="shared" si="211"/>
        <v xml:space="preserve"> 〔名〕 健康</v>
      </c>
    </row>
    <row r="813" spans="1:5" x14ac:dyDescent="0.15">
      <c r="A813">
        <f>ROW()</f>
        <v>813</v>
      </c>
      <c r="B813" s="27" t="s">
        <v>1042</v>
      </c>
      <c r="C813" t="str">
        <f t="shared" si="209"/>
        <v>れんあい</v>
      </c>
      <c r="D813" t="str">
        <f t="shared" si="210"/>
        <v>（恋愛）</v>
      </c>
      <c r="E813" t="str">
        <f t="shared" si="211"/>
        <v xml:space="preserve"> 〔名〕 恋爱</v>
      </c>
    </row>
    <row r="814" spans="1:5" x14ac:dyDescent="0.15">
      <c r="A814">
        <f>ROW()</f>
        <v>814</v>
      </c>
      <c r="B814" s="27" t="s">
        <v>1043</v>
      </c>
      <c r="C814" t="str">
        <f t="shared" ref="C814" si="222">LEFT(B814,FIND("〔",B814)-1)</f>
        <v xml:space="preserve">ドラマ </v>
      </c>
      <c r="E814" t="str">
        <f t="shared" ref="E814" si="223">RIGHT(B814,LEN(B814)-FIND("〔",B814)+1)</f>
        <v>〔名〕 连续剧</v>
      </c>
    </row>
    <row r="815" spans="1:5" x14ac:dyDescent="0.15">
      <c r="A815">
        <f>ROW()</f>
        <v>815</v>
      </c>
      <c r="B815" s="27" t="s">
        <v>1044</v>
      </c>
      <c r="C815" t="str">
        <f t="shared" si="209"/>
        <v>あいて</v>
      </c>
      <c r="D815" t="str">
        <f t="shared" si="210"/>
        <v>（相手）</v>
      </c>
      <c r="E815" t="str">
        <f t="shared" si="211"/>
        <v xml:space="preserve"> 〔名〕 对象，对方</v>
      </c>
    </row>
    <row r="816" spans="1:5" x14ac:dyDescent="0.15">
      <c r="A816">
        <f>ROW()</f>
        <v>816</v>
      </c>
      <c r="B816" s="27" t="s">
        <v>1045</v>
      </c>
      <c r="C816" t="str">
        <f t="shared" si="209"/>
        <v>こいびと</v>
      </c>
      <c r="D816" t="str">
        <f t="shared" si="210"/>
        <v>（恋人）</v>
      </c>
      <c r="E816" t="str">
        <f t="shared" si="211"/>
        <v xml:space="preserve"> 〔名〕 恋人</v>
      </c>
    </row>
    <row r="817" spans="1:5" x14ac:dyDescent="0.15">
      <c r="A817">
        <f>ROW()</f>
        <v>817</v>
      </c>
      <c r="B817" s="27" t="s">
        <v>1046</v>
      </c>
      <c r="C817" t="str">
        <f t="shared" si="209"/>
        <v>せんぱい</v>
      </c>
      <c r="D817" t="str">
        <f t="shared" si="210"/>
        <v>（先輩）</v>
      </c>
      <c r="E817" t="str">
        <f t="shared" si="211"/>
        <v xml:space="preserve"> 〔名〕 前辈</v>
      </c>
    </row>
    <row r="818" spans="1:5" x14ac:dyDescent="0.15">
      <c r="A818">
        <f>ROW()</f>
        <v>818</v>
      </c>
      <c r="B818" s="27" t="s">
        <v>1047</v>
      </c>
      <c r="C818" t="str">
        <f t="shared" si="209"/>
        <v>だんせい</v>
      </c>
      <c r="D818" t="str">
        <f t="shared" si="210"/>
        <v>（男性）</v>
      </c>
      <c r="E818" t="str">
        <f t="shared" si="211"/>
        <v xml:space="preserve"> 〔名〕 男性</v>
      </c>
    </row>
    <row r="819" spans="1:5" x14ac:dyDescent="0.15">
      <c r="A819">
        <f>ROW()</f>
        <v>819</v>
      </c>
      <c r="B819" s="27" t="s">
        <v>1048</v>
      </c>
      <c r="C819" t="str">
        <f t="shared" si="209"/>
        <v>がいこくじん</v>
      </c>
      <c r="D819" t="str">
        <f t="shared" si="210"/>
        <v>（外国人）</v>
      </c>
      <c r="E819" t="str">
        <f t="shared" si="211"/>
        <v xml:space="preserve"> 〔名〕 外国人</v>
      </c>
    </row>
    <row r="820" spans="1:5" x14ac:dyDescent="0.15">
      <c r="A820">
        <f>ROW()</f>
        <v>820</v>
      </c>
      <c r="B820" s="27" t="s">
        <v>1049</v>
      </c>
      <c r="C820" t="str">
        <f t="shared" si="209"/>
        <v>なつ</v>
      </c>
      <c r="D820" t="str">
        <f t="shared" si="210"/>
        <v>（夏）</v>
      </c>
      <c r="E820" t="str">
        <f t="shared" si="211"/>
        <v xml:space="preserve"> 〔名〕 夏天</v>
      </c>
    </row>
    <row r="821" spans="1:5" x14ac:dyDescent="0.15">
      <c r="A821">
        <f>ROW()</f>
        <v>821</v>
      </c>
      <c r="B821" s="27" t="s">
        <v>1050</v>
      </c>
      <c r="C821" t="str">
        <f t="shared" si="209"/>
        <v>はじめます</v>
      </c>
      <c r="D821" t="str">
        <f t="shared" si="210"/>
        <v>（始めます）</v>
      </c>
      <c r="E821" t="str">
        <f t="shared" si="211"/>
        <v xml:space="preserve"> 〔动2〕 开始</v>
      </c>
    </row>
    <row r="822" spans="1:5" x14ac:dyDescent="0.15">
      <c r="A822">
        <f>ROW()</f>
        <v>822</v>
      </c>
      <c r="B822" s="27" t="s">
        <v>1051</v>
      </c>
      <c r="C822" t="str">
        <f t="shared" si="209"/>
        <v>れんらくしあす</v>
      </c>
      <c r="D822" t="str">
        <f t="shared" si="210"/>
        <v>（連絡～）</v>
      </c>
      <c r="E822" t="str">
        <f t="shared" si="211"/>
        <v xml:space="preserve"> 〔动3〕 联系</v>
      </c>
    </row>
    <row r="823" spans="1:5" x14ac:dyDescent="0.15">
      <c r="A823">
        <f>ROW()</f>
        <v>823</v>
      </c>
      <c r="B823" s="27" t="s">
        <v>1052</v>
      </c>
      <c r="C823" t="str">
        <f t="shared" si="209"/>
        <v>ほしい</v>
      </c>
      <c r="D823" t="str">
        <f t="shared" si="210"/>
        <v>（欲しい）</v>
      </c>
      <c r="E823" t="str">
        <f t="shared" si="211"/>
        <v xml:space="preserve"> 〔形1〕 想要</v>
      </c>
    </row>
    <row r="824" spans="1:5" x14ac:dyDescent="0.15">
      <c r="A824">
        <f>ROW()</f>
        <v>824</v>
      </c>
      <c r="B824" s="27" t="s">
        <v>1053</v>
      </c>
      <c r="C824" t="str">
        <f t="shared" si="209"/>
        <v>りっぱ</v>
      </c>
      <c r="D824" t="str">
        <f t="shared" si="210"/>
        <v>（立派）</v>
      </c>
      <c r="E824" t="str">
        <f t="shared" si="211"/>
        <v xml:space="preserve"> 〔形1〕 美观，杰出</v>
      </c>
    </row>
    <row r="825" spans="1:5" x14ac:dyDescent="0.15">
      <c r="A825">
        <f>ROW()</f>
        <v>825</v>
      </c>
      <c r="B825" s="27" t="s">
        <v>1054</v>
      </c>
      <c r="C825" t="str">
        <f t="shared" si="209"/>
        <v>こんど</v>
      </c>
      <c r="D825" t="str">
        <f t="shared" si="210"/>
        <v>（今度）</v>
      </c>
      <c r="E825" t="str">
        <f t="shared" si="211"/>
        <v xml:space="preserve"> 〔副〕 下次；这回</v>
      </c>
    </row>
    <row r="826" spans="1:5" x14ac:dyDescent="0.15">
      <c r="A826">
        <f>ROW()</f>
        <v>826</v>
      </c>
      <c r="B826" s="27" t="s">
        <v>1055</v>
      </c>
      <c r="C826" t="str">
        <f t="shared" ref="C826:C830" si="224">LEFT(B826,FIND("〔",B826)-1)</f>
        <v xml:space="preserve">ぜひ </v>
      </c>
      <c r="E826" t="str">
        <f t="shared" ref="E826:E830" si="225">RIGHT(B826,LEN(B826)-FIND("〔",B826)+1)</f>
        <v>〔副〕 一定</v>
      </c>
    </row>
    <row r="827" spans="1:5" x14ac:dyDescent="0.15">
      <c r="A827">
        <f>ROW()</f>
        <v>827</v>
      </c>
      <c r="B827" s="27" t="s">
        <v>1056</v>
      </c>
      <c r="C827" t="str">
        <f t="shared" si="224"/>
        <v xml:space="preserve">そろそろ </v>
      </c>
      <c r="E827" t="str">
        <f t="shared" si="225"/>
        <v>〔副〕 快要</v>
      </c>
    </row>
    <row r="828" spans="1:5" x14ac:dyDescent="0.15">
      <c r="A828">
        <f>ROW()</f>
        <v>828</v>
      </c>
      <c r="B828" s="27" t="s">
        <v>1057</v>
      </c>
      <c r="C828" t="str">
        <f t="shared" si="224"/>
        <v xml:space="preserve">まず </v>
      </c>
      <c r="E828" t="str">
        <f t="shared" si="225"/>
        <v>〔副〕 先，首先</v>
      </c>
    </row>
    <row r="829" spans="1:5" x14ac:dyDescent="0.15">
      <c r="A829">
        <f>ROW()</f>
        <v>829</v>
      </c>
      <c r="B829" s="27" t="s">
        <v>1058</v>
      </c>
      <c r="C829" t="str">
        <f t="shared" si="224"/>
        <v xml:space="preserve">ベートーベン </v>
      </c>
      <c r="E829" t="str">
        <f t="shared" si="225"/>
        <v>〔专〕 贝多芬</v>
      </c>
    </row>
    <row r="830" spans="1:5" x14ac:dyDescent="0.15">
      <c r="A830">
        <f>ROW()</f>
        <v>830</v>
      </c>
      <c r="B830" s="27" t="s">
        <v>1059</v>
      </c>
      <c r="C830" t="str">
        <f t="shared" si="224"/>
        <v xml:space="preserve">ショパン </v>
      </c>
      <c r="E830" t="str">
        <f t="shared" si="225"/>
        <v>〔专〕 肖邦</v>
      </c>
    </row>
    <row r="831" spans="1:5" x14ac:dyDescent="0.15">
      <c r="A831">
        <f>ROW()</f>
        <v>831</v>
      </c>
      <c r="B831" s="27" t="s">
        <v>1060</v>
      </c>
      <c r="C831" t="str">
        <f t="shared" ref="C831:C879" si="226">LEFT(B831,FIND("（",B831)-1)</f>
        <v>こきゅう</v>
      </c>
      <c r="D831" t="str">
        <f t="shared" ref="D831:D879" si="227">MID(B831,FIND("（",B831),FIND("）",B831)-FIND("（",B831)+1)</f>
        <v>（故宮）</v>
      </c>
      <c r="E831" t="str">
        <f t="shared" ref="E831:E879" si="228">RIGHT(B831,LEN(B831)-FIND("）",B831))</f>
        <v xml:space="preserve"> 〔专〕 故宫</v>
      </c>
    </row>
    <row r="832" spans="1:5" x14ac:dyDescent="0.15">
      <c r="A832">
        <f>ROW()</f>
        <v>832</v>
      </c>
      <c r="B832" s="27" t="s">
        <v>1061</v>
      </c>
      <c r="C832" t="str">
        <f t="shared" ref="C832" si="229">LEFT(B832,FIND("〔",B832)-1)</f>
        <v xml:space="preserve">ヨーロッパ </v>
      </c>
      <c r="E832" t="str">
        <f t="shared" ref="E832" si="230">RIGHT(B832,LEN(B832)-FIND("〔",B832)+1)</f>
        <v>〔专〕 欧洲</v>
      </c>
    </row>
    <row r="833" spans="1:5" x14ac:dyDescent="0.15">
      <c r="A833">
        <f>ROW()</f>
        <v>833</v>
      </c>
      <c r="B833" s="27" t="s">
        <v>1062</v>
      </c>
      <c r="C833" t="str">
        <f t="shared" si="226"/>
        <v>ホンコン</v>
      </c>
      <c r="D833" t="str">
        <f t="shared" si="227"/>
        <v>（香港）</v>
      </c>
      <c r="E833" t="str">
        <f t="shared" si="228"/>
        <v xml:space="preserve"> 〔专〕 香港</v>
      </c>
    </row>
    <row r="834" spans="1:5" x14ac:dyDescent="0.15">
      <c r="A834">
        <f>ROW()</f>
        <v>834</v>
      </c>
      <c r="B834" s="27" t="s">
        <v>1063</v>
      </c>
      <c r="C834" t="str">
        <f t="shared" ref="C834" si="231">LEFT(B834,FIND("〔",B834)-1)</f>
        <v xml:space="preserve">スイス </v>
      </c>
      <c r="E834" t="str">
        <f t="shared" ref="E834" si="232">RIGHT(B834,LEN(B834)-FIND("〔",B834)+1)</f>
        <v>〔专〕 瑞士</v>
      </c>
    </row>
    <row r="835" spans="1:5" x14ac:dyDescent="0.15">
      <c r="A835">
        <f>ROW()</f>
        <v>835</v>
      </c>
      <c r="B835" s="27" t="s">
        <v>1064</v>
      </c>
      <c r="C835" t="str">
        <f t="shared" si="226"/>
        <v>おと</v>
      </c>
      <c r="D835" t="str">
        <f t="shared" si="227"/>
        <v>（音）</v>
      </c>
      <c r="E835" t="str">
        <f t="shared" si="228"/>
        <v xml:space="preserve"> 〔名〕 声音，响声</v>
      </c>
    </row>
    <row r="836" spans="1:5" x14ac:dyDescent="0.15">
      <c r="A836">
        <f>ROW()</f>
        <v>836</v>
      </c>
      <c r="B836" s="27" t="s">
        <v>1065</v>
      </c>
      <c r="C836" t="str">
        <f t="shared" si="226"/>
        <v>こえ</v>
      </c>
      <c r="D836" t="str">
        <f t="shared" si="227"/>
        <v>（声）</v>
      </c>
      <c r="E836" t="str">
        <f t="shared" si="228"/>
        <v xml:space="preserve"> 〔名〕 声音</v>
      </c>
    </row>
    <row r="837" spans="1:5" x14ac:dyDescent="0.15">
      <c r="A837">
        <f>ROW()</f>
        <v>837</v>
      </c>
      <c r="B837" s="27" t="s">
        <v>1066</v>
      </c>
      <c r="C837" t="str">
        <f t="shared" si="226"/>
        <v>くうき</v>
      </c>
      <c r="D837" t="str">
        <f t="shared" si="227"/>
        <v>（空気）</v>
      </c>
      <c r="E837" t="str">
        <f t="shared" si="228"/>
        <v xml:space="preserve"> 〔名〕 空气</v>
      </c>
    </row>
    <row r="838" spans="1:5" x14ac:dyDescent="0.15">
      <c r="A838">
        <f>ROW()</f>
        <v>838</v>
      </c>
      <c r="B838" s="27" t="s">
        <v>1067</v>
      </c>
      <c r="C838" t="str">
        <f t="shared" si="226"/>
        <v>むすこ</v>
      </c>
      <c r="D838" t="str">
        <f t="shared" si="227"/>
        <v>（息子）</v>
      </c>
      <c r="E838" t="str">
        <f t="shared" si="228"/>
        <v xml:space="preserve"> 〔名〕 儿子</v>
      </c>
    </row>
    <row r="839" spans="1:5" x14ac:dyDescent="0.15">
      <c r="A839">
        <f>ROW()</f>
        <v>839</v>
      </c>
      <c r="B839" s="27" t="s">
        <v>1068</v>
      </c>
      <c r="C839" t="str">
        <f t="shared" si="226"/>
        <v>いしゃ</v>
      </c>
      <c r="D839" t="str">
        <f t="shared" si="227"/>
        <v>（医者）</v>
      </c>
      <c r="E839" t="str">
        <f t="shared" si="228"/>
        <v xml:space="preserve"> 〔名〕 医生</v>
      </c>
    </row>
    <row r="840" spans="1:5" x14ac:dyDescent="0.15">
      <c r="A840">
        <f>ROW()</f>
        <v>840</v>
      </c>
      <c r="B840" s="27" t="s">
        <v>1069</v>
      </c>
      <c r="C840" t="str">
        <f t="shared" si="226"/>
        <v>おじょうさん</v>
      </c>
      <c r="D840" t="str">
        <f t="shared" si="227"/>
        <v>（お嬢さん）</v>
      </c>
      <c r="E840" t="str">
        <f t="shared" si="228"/>
        <v xml:space="preserve"> 〔名〕 令爱</v>
      </c>
    </row>
    <row r="841" spans="1:5" x14ac:dyDescent="0.15">
      <c r="A841">
        <f>ROW()</f>
        <v>841</v>
      </c>
      <c r="B841" s="27" t="s">
        <v>1070</v>
      </c>
      <c r="C841" t="str">
        <f t="shared" si="226"/>
        <v>しゃかいじん</v>
      </c>
      <c r="D841" t="str">
        <f t="shared" si="227"/>
        <v>（社会人）</v>
      </c>
      <c r="E841" t="str">
        <f t="shared" si="228"/>
        <v xml:space="preserve"> 〔名〕 社会的一员，成人</v>
      </c>
    </row>
    <row r="842" spans="1:5" x14ac:dyDescent="0.15">
      <c r="A842">
        <f>ROW()</f>
        <v>842</v>
      </c>
      <c r="B842" s="27" t="s">
        <v>1071</v>
      </c>
      <c r="C842" t="str">
        <f t="shared" si="226"/>
        <v>りょこうガイド</v>
      </c>
      <c r="D842" t="str">
        <f t="shared" si="227"/>
        <v>（旅行～）</v>
      </c>
      <c r="E842" t="str">
        <f t="shared" si="228"/>
        <v xml:space="preserve"> 〔名〕 旅行导游</v>
      </c>
    </row>
    <row r="843" spans="1:5" x14ac:dyDescent="0.15">
      <c r="A843">
        <f>ROW()</f>
        <v>843</v>
      </c>
      <c r="B843" s="27" t="s">
        <v>1072</v>
      </c>
      <c r="C843" t="str">
        <f t="shared" si="226"/>
        <v>がくしゃ</v>
      </c>
      <c r="D843" t="str">
        <f t="shared" si="227"/>
        <v>（学者）</v>
      </c>
      <c r="E843" t="str">
        <f t="shared" si="228"/>
        <v xml:space="preserve"> 〔名〕 学者</v>
      </c>
    </row>
    <row r="844" spans="1:5" x14ac:dyDescent="0.15">
      <c r="A844">
        <f>ROW()</f>
        <v>844</v>
      </c>
      <c r="B844" s="27" t="s">
        <v>1073</v>
      </c>
      <c r="C844" t="str">
        <f t="shared" ref="C844:C846" si="233">LEFT(B844,FIND("〔",B844)-1)</f>
        <v xml:space="preserve">パイロット </v>
      </c>
      <c r="E844" t="str">
        <f t="shared" ref="E844:E846" si="234">RIGHT(B844,LEN(B844)-FIND("〔",B844)+1)</f>
        <v>〔名〕 飞行员</v>
      </c>
    </row>
    <row r="845" spans="1:5" x14ac:dyDescent="0.15">
      <c r="A845">
        <f>ROW()</f>
        <v>845</v>
      </c>
      <c r="B845" s="27" t="s">
        <v>1074</v>
      </c>
      <c r="C845" t="str">
        <f t="shared" si="233"/>
        <v xml:space="preserve">デザイナー </v>
      </c>
      <c r="E845" t="str">
        <f t="shared" si="234"/>
        <v>〔名〕 设计者，设计家</v>
      </c>
    </row>
    <row r="846" spans="1:5" x14ac:dyDescent="0.15">
      <c r="A846">
        <f>ROW()</f>
        <v>846</v>
      </c>
      <c r="B846" s="27" t="s">
        <v>1075</v>
      </c>
      <c r="C846" t="str">
        <f t="shared" si="233"/>
        <v xml:space="preserve">タイムサービス </v>
      </c>
      <c r="E846" t="str">
        <f t="shared" si="234"/>
        <v>〔名〕 时段廉价销售</v>
      </c>
    </row>
    <row r="847" spans="1:5" x14ac:dyDescent="0.15">
      <c r="A847">
        <f>ROW()</f>
        <v>847</v>
      </c>
      <c r="B847" s="27" t="s">
        <v>1076</v>
      </c>
      <c r="C847" t="str">
        <f t="shared" si="226"/>
        <v>しんしゅんセール</v>
      </c>
      <c r="D847" t="str">
        <f t="shared" si="227"/>
        <v>（新春～）</v>
      </c>
      <c r="E847" t="str">
        <f t="shared" si="228"/>
        <v xml:space="preserve"> 〔名〕 新年大甩卖</v>
      </c>
    </row>
    <row r="848" spans="1:5" x14ac:dyDescent="0.15">
      <c r="A848">
        <f>ROW()</f>
        <v>848</v>
      </c>
      <c r="B848" s="27" t="s">
        <v>1077</v>
      </c>
      <c r="C848" t="str">
        <f t="shared" si="226"/>
        <v>さんわりびき</v>
      </c>
      <c r="D848" t="str">
        <f t="shared" si="227"/>
        <v>（３割引）</v>
      </c>
      <c r="E848" t="str">
        <f t="shared" si="228"/>
        <v xml:space="preserve"> 〔名〕 七折</v>
      </c>
    </row>
    <row r="849" spans="1:5" x14ac:dyDescent="0.15">
      <c r="A849">
        <f>ROW()</f>
        <v>849</v>
      </c>
      <c r="B849" s="27" t="s">
        <v>1078</v>
      </c>
      <c r="C849" t="str">
        <f t="shared" si="226"/>
        <v>でいか</v>
      </c>
      <c r="D849" t="str">
        <f t="shared" si="227"/>
        <v>（定価）</v>
      </c>
      <c r="E849" t="str">
        <f t="shared" si="228"/>
        <v xml:space="preserve"> 〔名〕 定价</v>
      </c>
    </row>
    <row r="850" spans="1:5" x14ac:dyDescent="0.15">
      <c r="A850">
        <f>ROW()</f>
        <v>850</v>
      </c>
      <c r="B850" s="27" t="s">
        <v>1079</v>
      </c>
      <c r="C850" t="str">
        <f t="shared" si="226"/>
        <v>はんがく</v>
      </c>
      <c r="D850" t="str">
        <f t="shared" si="227"/>
        <v>（半額）</v>
      </c>
      <c r="E850" t="str">
        <f t="shared" si="228"/>
        <v xml:space="preserve"> 〔名〕 半价</v>
      </c>
    </row>
    <row r="851" spans="1:5" x14ac:dyDescent="0.15">
      <c r="A851">
        <f>ROW()</f>
        <v>851</v>
      </c>
      <c r="B851" s="27" t="s">
        <v>1080</v>
      </c>
      <c r="C851" t="str">
        <f t="shared" si="226"/>
        <v>ねだん</v>
      </c>
      <c r="D851" t="str">
        <f t="shared" si="227"/>
        <v>（値段）</v>
      </c>
      <c r="E851" t="str">
        <f t="shared" si="228"/>
        <v xml:space="preserve"> 〔名〕 价格</v>
      </c>
    </row>
    <row r="852" spans="1:5" x14ac:dyDescent="0.15">
      <c r="A852">
        <f>ROW()</f>
        <v>852</v>
      </c>
      <c r="B852" s="27" t="s">
        <v>1081</v>
      </c>
      <c r="C852" t="str">
        <f t="shared" ref="C852:C853" si="235">LEFT(B852,FIND("〔",B852)-1)</f>
        <v xml:space="preserve">シャツ </v>
      </c>
      <c r="E852" t="str">
        <f t="shared" ref="E852:E853" si="236">RIGHT(B852,LEN(B852)-FIND("〔",B852)+1)</f>
        <v>〔名〕 衬衫</v>
      </c>
    </row>
    <row r="853" spans="1:5" x14ac:dyDescent="0.15">
      <c r="A853">
        <f>ROW()</f>
        <v>853</v>
      </c>
      <c r="B853" s="27" t="s">
        <v>1082</v>
      </c>
      <c r="C853" t="str">
        <f t="shared" si="235"/>
        <v xml:space="preserve">スカート </v>
      </c>
      <c r="E853" t="str">
        <f t="shared" si="236"/>
        <v>〔名〕 裙子</v>
      </c>
    </row>
    <row r="854" spans="1:5" x14ac:dyDescent="0.15">
      <c r="A854">
        <f>ROW()</f>
        <v>854</v>
      </c>
      <c r="B854" s="27" t="s">
        <v>1083</v>
      </c>
      <c r="C854" t="str">
        <f t="shared" si="226"/>
        <v>いろ</v>
      </c>
      <c r="D854" t="str">
        <f t="shared" si="227"/>
        <v>（色）</v>
      </c>
      <c r="E854" t="str">
        <f t="shared" si="228"/>
        <v xml:space="preserve"> 〔名〕 颜色</v>
      </c>
    </row>
    <row r="855" spans="1:5" x14ac:dyDescent="0.15">
      <c r="A855">
        <f>ROW()</f>
        <v>855</v>
      </c>
      <c r="B855" s="27" t="s">
        <v>1084</v>
      </c>
      <c r="C855" t="str">
        <f t="shared" si="226"/>
        <v>あか</v>
      </c>
      <c r="D855" t="str">
        <f t="shared" si="227"/>
        <v>（赤）</v>
      </c>
      <c r="E855" t="str">
        <f t="shared" si="228"/>
        <v xml:space="preserve"> 〔名〕 红色</v>
      </c>
    </row>
    <row r="856" spans="1:5" x14ac:dyDescent="0.15">
      <c r="A856">
        <f>ROW()</f>
        <v>856</v>
      </c>
      <c r="B856" s="27" t="s">
        <v>1085</v>
      </c>
      <c r="C856" t="str">
        <f t="shared" si="226"/>
        <v>あお</v>
      </c>
      <c r="D856" t="str">
        <f t="shared" si="227"/>
        <v>（青）</v>
      </c>
      <c r="E856" t="str">
        <f t="shared" si="228"/>
        <v xml:space="preserve"> 〔名〕 蓝色</v>
      </c>
    </row>
    <row r="857" spans="1:5" x14ac:dyDescent="0.15">
      <c r="A857">
        <f>ROW()</f>
        <v>857</v>
      </c>
      <c r="B857" s="27" t="s">
        <v>1086</v>
      </c>
      <c r="C857" t="str">
        <f t="shared" si="226"/>
        <v>おしょうがつ</v>
      </c>
      <c r="D857" t="str">
        <f t="shared" si="227"/>
        <v>（お正月）</v>
      </c>
      <c r="E857" t="str">
        <f t="shared" si="228"/>
        <v xml:space="preserve"> 〔名〕 过年，新年</v>
      </c>
    </row>
    <row r="858" spans="1:5" x14ac:dyDescent="0.15">
      <c r="A858">
        <f>ROW()</f>
        <v>858</v>
      </c>
      <c r="B858" s="27" t="s">
        <v>1087</v>
      </c>
      <c r="C858" t="str">
        <f t="shared" si="226"/>
        <v>じかん</v>
      </c>
      <c r="D858" t="str">
        <f t="shared" si="227"/>
        <v>（時間）</v>
      </c>
      <c r="E858" t="str">
        <f t="shared" si="228"/>
        <v xml:space="preserve"> 〔名〕 时间</v>
      </c>
    </row>
    <row r="859" spans="1:5" x14ac:dyDescent="0.15">
      <c r="A859">
        <f>ROW()</f>
        <v>859</v>
      </c>
      <c r="B859" s="27" t="s">
        <v>1088</v>
      </c>
      <c r="C859" t="str">
        <f t="shared" si="226"/>
        <v>しょうらい</v>
      </c>
      <c r="D859" t="str">
        <f t="shared" si="227"/>
        <v>（将来）</v>
      </c>
      <c r="E859" t="str">
        <f t="shared" si="228"/>
        <v xml:space="preserve"> 〔名〕 将来</v>
      </c>
    </row>
    <row r="860" spans="1:5" x14ac:dyDescent="0.15">
      <c r="A860">
        <f>ROW()</f>
        <v>860</v>
      </c>
      <c r="B860" s="27" t="s">
        <v>1089</v>
      </c>
      <c r="C860" t="str">
        <f t="shared" si="226"/>
        <v>じゅんび</v>
      </c>
      <c r="D860" t="str">
        <f t="shared" si="227"/>
        <v>（準備）</v>
      </c>
      <c r="E860" t="str">
        <f t="shared" si="228"/>
        <v xml:space="preserve"> 〔名〕 准备</v>
      </c>
    </row>
    <row r="861" spans="1:5" x14ac:dyDescent="0.15">
      <c r="A861">
        <f>ROW()</f>
        <v>861</v>
      </c>
      <c r="B861" s="27" t="s">
        <v>1090</v>
      </c>
      <c r="C861" t="str">
        <f t="shared" si="226"/>
        <v>びょうき</v>
      </c>
      <c r="D861" t="str">
        <f t="shared" si="227"/>
        <v>（病気）</v>
      </c>
      <c r="E861" t="str">
        <f t="shared" si="228"/>
        <v xml:space="preserve"> 〔名〕 疾病</v>
      </c>
    </row>
    <row r="862" spans="1:5" x14ac:dyDescent="0.15">
      <c r="A862">
        <f>ROW()</f>
        <v>862</v>
      </c>
      <c r="B862" s="27" t="s">
        <v>1091</v>
      </c>
      <c r="C862" t="str">
        <f t="shared" ref="C862" si="237">LEFT(B862,FIND("〔",B862)-1)</f>
        <v xml:space="preserve">なります </v>
      </c>
      <c r="E862" t="str">
        <f t="shared" ref="E862" si="238">RIGHT(B862,LEN(B862)-FIND("〔",B862)+1)</f>
        <v>〔动1〕 变，当，变成，成为</v>
      </c>
    </row>
    <row r="863" spans="1:5" x14ac:dyDescent="0.15">
      <c r="A863">
        <f>ROW()</f>
        <v>863</v>
      </c>
      <c r="B863" s="27" t="s">
        <v>1092</v>
      </c>
      <c r="C863" t="str">
        <f t="shared" si="226"/>
        <v>あきます</v>
      </c>
      <c r="D863" t="str">
        <f t="shared" si="227"/>
        <v>（開きます）</v>
      </c>
      <c r="E863" t="str">
        <f t="shared" si="228"/>
        <v xml:space="preserve"> 〔动1〕 开</v>
      </c>
    </row>
    <row r="864" spans="1:5" x14ac:dyDescent="0.15">
      <c r="A864">
        <f>ROW()</f>
        <v>864</v>
      </c>
      <c r="B864" s="27" t="s">
        <v>1093</v>
      </c>
      <c r="C864" t="str">
        <f t="shared" si="226"/>
        <v>にあいます</v>
      </c>
      <c r="D864" t="str">
        <f t="shared" si="227"/>
        <v>（似合います）</v>
      </c>
      <c r="E864" t="str">
        <f t="shared" si="228"/>
        <v xml:space="preserve"> 〔动1〕 适合，相称</v>
      </c>
    </row>
    <row r="865" spans="1:5" x14ac:dyDescent="0.15">
      <c r="A865">
        <f>ROW()</f>
        <v>865</v>
      </c>
      <c r="B865" s="27" t="s">
        <v>1094</v>
      </c>
      <c r="C865" t="str">
        <f t="shared" ref="C865:C866" si="239">LEFT(B865,FIND("〔",B865)-1)</f>
        <v xml:space="preserve">うるさい </v>
      </c>
      <c r="E865" t="str">
        <f t="shared" ref="E865:E866" si="240">RIGHT(B865,LEN(B865)-FIND("〔",B865)+1)</f>
        <v>〔形1〕 闹，使人心烦</v>
      </c>
    </row>
    <row r="866" spans="1:5" x14ac:dyDescent="0.15">
      <c r="A866">
        <f>ROW()</f>
        <v>866</v>
      </c>
      <c r="B866" s="27" t="s">
        <v>1095</v>
      </c>
      <c r="C866" t="str">
        <f t="shared" si="239"/>
        <v xml:space="preserve">シンプル </v>
      </c>
      <c r="E866" t="str">
        <f t="shared" si="240"/>
        <v>〔形2〕 单纯，简洁</v>
      </c>
    </row>
    <row r="867" spans="1:5" x14ac:dyDescent="0.15">
      <c r="A867">
        <f>ROW()</f>
        <v>867</v>
      </c>
      <c r="B867" s="27" t="s">
        <v>1096</v>
      </c>
      <c r="C867" t="str">
        <f t="shared" si="226"/>
        <v>まもなく</v>
      </c>
      <c r="D867" t="str">
        <f t="shared" si="227"/>
        <v>（間もなく）</v>
      </c>
      <c r="E867" t="str">
        <f t="shared" si="228"/>
        <v xml:space="preserve"> 〔副〕 马上，一会儿，不久</v>
      </c>
    </row>
    <row r="868" spans="1:5" x14ac:dyDescent="0.15">
      <c r="A868">
        <f>ROW()</f>
        <v>868</v>
      </c>
      <c r="B868" s="27" t="s">
        <v>1097</v>
      </c>
      <c r="C868" t="str">
        <f t="shared" ref="C868:C869" si="241">LEFT(B868,FIND("〔",B868)-1)</f>
        <v xml:space="preserve">さらに∕もっと </v>
      </c>
      <c r="E868" t="str">
        <f t="shared" ref="E868:E869" si="242">RIGHT(B868,LEN(B868)-FIND("〔",B868)+1)</f>
        <v>〔副〕 更加，更</v>
      </c>
    </row>
    <row r="869" spans="1:5" x14ac:dyDescent="0.15">
      <c r="A869">
        <f>ROW()</f>
        <v>869</v>
      </c>
      <c r="B869" s="27" t="s">
        <v>1098</v>
      </c>
      <c r="C869" t="str">
        <f t="shared" si="241"/>
        <v xml:space="preserve">さあ </v>
      </c>
      <c r="E869" t="str">
        <f t="shared" si="242"/>
        <v>〔叹〕 啊，喂</v>
      </c>
    </row>
    <row r="870" spans="1:5" x14ac:dyDescent="0.15">
      <c r="A870">
        <f>ROW()</f>
        <v>870</v>
      </c>
      <c r="B870" s="27" t="s">
        <v>1099</v>
      </c>
      <c r="C870" t="str">
        <f>LEFT(B870,FIND(" ",B870)-1)</f>
        <v>でくるだけ</v>
      </c>
      <c r="E870" t="str">
        <f>RIGHT(B870,LEN(B870)-FIND(" ",B870)+1)</f>
        <v xml:space="preserve"> 尽量，尽可能</v>
      </c>
    </row>
    <row r="871" spans="1:5" x14ac:dyDescent="0.15">
      <c r="A871">
        <f>ROW()</f>
        <v>871</v>
      </c>
      <c r="B871" s="27" t="s">
        <v>1100</v>
      </c>
      <c r="C871" t="str">
        <f>LEFT(B871,FIND(" ",B871)-1)</f>
        <v>まとめて</v>
      </c>
      <c r="E871" t="str">
        <f>RIGHT(B871,LEN(B871)-FIND(" ",B871)+1)</f>
        <v xml:space="preserve"> 一下子，一起，汇总，汇集</v>
      </c>
    </row>
    <row r="872" spans="1:5" x14ac:dyDescent="0.15">
      <c r="A872">
        <f>ROW()</f>
        <v>872</v>
      </c>
      <c r="B872" s="27" t="s">
        <v>1101</v>
      </c>
      <c r="C872" t="str">
        <f t="shared" si="226"/>
        <v>いまから</v>
      </c>
      <c r="D872" t="str">
        <f t="shared" si="227"/>
        <v>（今から）</v>
      </c>
      <c r="E872" t="str">
        <f t="shared" si="228"/>
        <v xml:space="preserve"> 从现在起</v>
      </c>
    </row>
    <row r="873" spans="1:5" x14ac:dyDescent="0.15">
      <c r="A873">
        <f>ROW()</f>
        <v>873</v>
      </c>
      <c r="B873" s="27" t="s">
        <v>1102</v>
      </c>
      <c r="C873" t="str">
        <f t="shared" si="226"/>
        <v>しなもの</v>
      </c>
      <c r="D873" t="str">
        <f t="shared" si="227"/>
        <v>（品物）</v>
      </c>
      <c r="E873" t="str">
        <f t="shared" si="228"/>
        <v xml:space="preserve"> 〔名〕 物品，商品</v>
      </c>
    </row>
    <row r="874" spans="1:5" x14ac:dyDescent="0.15">
      <c r="A874">
        <f>ROW()</f>
        <v>874</v>
      </c>
      <c r="B874" s="27" t="s">
        <v>1103</v>
      </c>
      <c r="C874" t="str">
        <f t="shared" si="226"/>
        <v>おさら</v>
      </c>
      <c r="D874" t="str">
        <f t="shared" si="227"/>
        <v>（お皿）</v>
      </c>
      <c r="E874" t="str">
        <f t="shared" si="228"/>
        <v xml:space="preserve"> 〔名〕 盘子</v>
      </c>
    </row>
    <row r="875" spans="1:5" x14ac:dyDescent="0.15">
      <c r="A875">
        <f>ROW()</f>
        <v>875</v>
      </c>
      <c r="B875" s="27" t="s">
        <v>1104</v>
      </c>
      <c r="C875" t="str">
        <f t="shared" ref="C875" si="243">LEFT(B875,FIND("〔",B875)-1)</f>
        <v xml:space="preserve">ごみ </v>
      </c>
      <c r="E875" t="str">
        <f t="shared" ref="E875" si="244">RIGHT(B875,LEN(B875)-FIND("〔",B875)+1)</f>
        <v>〔名〕 垃圾</v>
      </c>
    </row>
    <row r="876" spans="1:5" x14ac:dyDescent="0.15">
      <c r="A876">
        <f>ROW()</f>
        <v>876</v>
      </c>
      <c r="B876" s="27" t="s">
        <v>1105</v>
      </c>
      <c r="C876" t="str">
        <f t="shared" si="226"/>
        <v>しょしんしゃ</v>
      </c>
      <c r="D876" t="str">
        <f t="shared" si="227"/>
        <v>（初心者）</v>
      </c>
      <c r="E876" t="str">
        <f t="shared" si="228"/>
        <v xml:space="preserve"> 〔名〕 初学者</v>
      </c>
    </row>
    <row r="877" spans="1:5" x14ac:dyDescent="0.15">
      <c r="A877">
        <f>ROW()</f>
        <v>877</v>
      </c>
      <c r="B877" s="27" t="s">
        <v>1106</v>
      </c>
      <c r="C877" t="str">
        <f t="shared" si="226"/>
        <v>じょうきゅうしゃ</v>
      </c>
      <c r="D877" t="str">
        <f t="shared" si="227"/>
        <v>（上級者）</v>
      </c>
      <c r="E877" t="str">
        <f t="shared" si="228"/>
        <v xml:space="preserve"> 〔名〕 熟练者</v>
      </c>
    </row>
    <row r="878" spans="1:5" x14ac:dyDescent="0.15">
      <c r="A878">
        <f>ROW()</f>
        <v>878</v>
      </c>
      <c r="B878" s="27" t="s">
        <v>1107</v>
      </c>
      <c r="C878" t="str">
        <f t="shared" si="226"/>
        <v>こうきゅう</v>
      </c>
      <c r="D878" t="str">
        <f t="shared" si="227"/>
        <v>（高級）</v>
      </c>
      <c r="E878" t="str">
        <f t="shared" si="228"/>
        <v xml:space="preserve"> 〔名〕 高级</v>
      </c>
    </row>
    <row r="879" spans="1:5" x14ac:dyDescent="0.15">
      <c r="A879">
        <f>ROW()</f>
        <v>879</v>
      </c>
      <c r="B879" s="27" t="s">
        <v>1108</v>
      </c>
      <c r="C879" t="str">
        <f t="shared" si="226"/>
        <v>じょうきゅうクラス</v>
      </c>
      <c r="D879" t="str">
        <f t="shared" si="227"/>
        <v>（上級～）</v>
      </c>
      <c r="E879" t="str">
        <f t="shared" si="228"/>
        <v xml:space="preserve"> 〔名〕 高级班</v>
      </c>
    </row>
    <row r="880" spans="1:5" x14ac:dyDescent="0.15">
      <c r="A880">
        <f>ROW()</f>
        <v>880</v>
      </c>
      <c r="B880" s="27" t="s">
        <v>1109</v>
      </c>
      <c r="C880" t="str">
        <f>LEFT(B880,FIND(" ",B880)-1)</f>
        <v>えいかいわ（英会話）</v>
      </c>
      <c r="E880" t="str">
        <f>RIGHT(B880,LEN(B880)-FIND(" ",B880))</f>
        <v>〔名〕 英语会话</v>
      </c>
    </row>
    <row r="881" spans="1:5" x14ac:dyDescent="0.15">
      <c r="A881">
        <f>ROW()</f>
        <v>881</v>
      </c>
      <c r="B881" s="27" t="s">
        <v>1110</v>
      </c>
      <c r="C881" t="str">
        <f t="shared" ref="C881:C885" si="245">LEFT(B881,FIND("〔",B881)-1)</f>
        <v xml:space="preserve">コース </v>
      </c>
      <c r="E881" t="str">
        <f t="shared" ref="E881:E885" si="246">RIGHT(B881,LEN(B881)-FIND("〔",B881)+1)</f>
        <v>〔名〕 路线，滑道</v>
      </c>
    </row>
    <row r="882" spans="1:5" x14ac:dyDescent="0.15">
      <c r="A882">
        <f>ROW()</f>
        <v>882</v>
      </c>
      <c r="B882" s="27" t="s">
        <v>1111</v>
      </c>
      <c r="C882" t="str">
        <f t="shared" si="245"/>
        <v xml:space="preserve">スキー </v>
      </c>
      <c r="E882" t="str">
        <f t="shared" si="246"/>
        <v>〔名〕 滑雪</v>
      </c>
    </row>
    <row r="883" spans="1:5" x14ac:dyDescent="0.15">
      <c r="A883">
        <f>ROW()</f>
        <v>883</v>
      </c>
      <c r="B883" s="27" t="s">
        <v>1112</v>
      </c>
      <c r="C883" t="str">
        <f t="shared" si="245"/>
        <v xml:space="preserve">レポート </v>
      </c>
      <c r="E883" t="str">
        <f t="shared" si="246"/>
        <v>〔名〕 报告</v>
      </c>
    </row>
    <row r="884" spans="1:5" x14ac:dyDescent="0.15">
      <c r="A884">
        <f>ROW()</f>
        <v>884</v>
      </c>
      <c r="B884" s="27" t="s">
        <v>1113</v>
      </c>
      <c r="C884" t="str">
        <f t="shared" si="245"/>
        <v xml:space="preserve">パスポート </v>
      </c>
      <c r="E884" t="str">
        <f t="shared" si="246"/>
        <v>〔名〕 护照</v>
      </c>
    </row>
    <row r="885" spans="1:5" x14ac:dyDescent="0.15">
      <c r="A885">
        <f>ROW()</f>
        <v>885</v>
      </c>
      <c r="B885" s="27" t="s">
        <v>1114</v>
      </c>
      <c r="C885" t="str">
        <f t="shared" si="245"/>
        <v xml:space="preserve">のど </v>
      </c>
      <c r="E885" t="str">
        <f t="shared" si="246"/>
        <v>〔名〕 喉咙</v>
      </c>
    </row>
    <row r="886" spans="1:5" x14ac:dyDescent="0.15">
      <c r="A886">
        <f>ROW()</f>
        <v>886</v>
      </c>
      <c r="B886" s="27" t="s">
        <v>1115</v>
      </c>
      <c r="C886" t="str">
        <f t="shared" ref="C886:C943" si="247">LEFT(B886,FIND("（",B886)-1)</f>
        <v>さわります</v>
      </c>
      <c r="D886" t="str">
        <f t="shared" ref="D886:D943" si="248">MID(B886,FIND("（",B886),FIND("）",B886)-FIND("（",B886)+1)</f>
        <v>（触ります）</v>
      </c>
      <c r="E886" t="str">
        <f t="shared" ref="E886:E943" si="249">RIGHT(B886,LEN(B886)-FIND("）",B886))</f>
        <v xml:space="preserve"> 〔动1〕 碰，触</v>
      </c>
    </row>
    <row r="887" spans="1:5" x14ac:dyDescent="0.15">
      <c r="A887">
        <f>ROW()</f>
        <v>887</v>
      </c>
      <c r="B887" s="27" t="s">
        <v>1116</v>
      </c>
      <c r="C887" t="str">
        <f t="shared" si="247"/>
        <v>ぬぎます</v>
      </c>
      <c r="D887" t="str">
        <f t="shared" si="248"/>
        <v>（脱ぎます）</v>
      </c>
      <c r="E887" t="str">
        <f t="shared" si="249"/>
        <v xml:space="preserve"> 〔动1〕 脱</v>
      </c>
    </row>
    <row r="888" spans="1:5" x14ac:dyDescent="0.15">
      <c r="A888">
        <f>ROW()</f>
        <v>888</v>
      </c>
      <c r="B888" s="27" t="s">
        <v>1117</v>
      </c>
      <c r="C888" t="str">
        <f t="shared" si="247"/>
        <v>ころびます</v>
      </c>
      <c r="D888" t="str">
        <f t="shared" si="248"/>
        <v>（転びます）</v>
      </c>
      <c r="E888" t="str">
        <f t="shared" si="249"/>
        <v xml:space="preserve"> 〔动1〕 摔，摔倒，跌倒</v>
      </c>
    </row>
    <row r="889" spans="1:5" x14ac:dyDescent="0.15">
      <c r="A889">
        <f>ROW()</f>
        <v>889</v>
      </c>
      <c r="B889" s="27" t="s">
        <v>1118</v>
      </c>
      <c r="C889" t="str">
        <f t="shared" si="247"/>
        <v>かわきます</v>
      </c>
      <c r="D889" t="str">
        <f t="shared" si="248"/>
        <v>（渇きます）</v>
      </c>
      <c r="E889" t="str">
        <f t="shared" si="249"/>
        <v xml:space="preserve"> 〔动1〕 渴</v>
      </c>
    </row>
    <row r="890" spans="1:5" x14ac:dyDescent="0.15">
      <c r="A890">
        <f>ROW()</f>
        <v>890</v>
      </c>
      <c r="B890" s="27" t="s">
        <v>1119</v>
      </c>
      <c r="C890" t="str">
        <f t="shared" si="247"/>
        <v>なおります</v>
      </c>
      <c r="D890" t="str">
        <f t="shared" si="248"/>
        <v>（治ります）</v>
      </c>
      <c r="E890" t="str">
        <f t="shared" si="249"/>
        <v xml:space="preserve"> 〔动1〕 痊愈，医好</v>
      </c>
    </row>
    <row r="891" spans="1:5" x14ac:dyDescent="0.15">
      <c r="A891">
        <f>ROW()</f>
        <v>891</v>
      </c>
      <c r="B891" s="27" t="s">
        <v>1120</v>
      </c>
      <c r="C891" t="str">
        <f t="shared" si="247"/>
        <v>すべります</v>
      </c>
      <c r="D891" t="str">
        <f t="shared" si="248"/>
        <v>（滑ります）</v>
      </c>
      <c r="E891" t="str">
        <f t="shared" si="249"/>
        <v xml:space="preserve"> 〔动1〕 滑，滑行</v>
      </c>
    </row>
    <row r="892" spans="1:5" x14ac:dyDescent="0.15">
      <c r="A892">
        <f>ROW()</f>
        <v>892</v>
      </c>
      <c r="B892" s="27" t="s">
        <v>1121</v>
      </c>
      <c r="C892" t="str">
        <f t="shared" si="247"/>
        <v>よびます</v>
      </c>
      <c r="D892" t="str">
        <f t="shared" si="248"/>
        <v>（呼びます）</v>
      </c>
      <c r="E892" t="str">
        <f t="shared" si="249"/>
        <v xml:space="preserve"> 〔动1〕 呼喊</v>
      </c>
    </row>
    <row r="893" spans="1:5" x14ac:dyDescent="0.15">
      <c r="A893">
        <f>ROW()</f>
        <v>893</v>
      </c>
      <c r="B893" s="27" t="s">
        <v>1122</v>
      </c>
      <c r="C893" t="str">
        <f t="shared" si="247"/>
        <v>かえします</v>
      </c>
      <c r="D893" t="str">
        <f t="shared" si="248"/>
        <v>（返します）</v>
      </c>
      <c r="E893" t="str">
        <f t="shared" si="249"/>
        <v xml:space="preserve"> 〔动1〕 归还</v>
      </c>
    </row>
    <row r="894" spans="1:5" x14ac:dyDescent="0.15">
      <c r="A894">
        <f>ROW()</f>
        <v>894</v>
      </c>
      <c r="B894" s="27" t="s">
        <v>1123</v>
      </c>
      <c r="C894" t="str">
        <f t="shared" si="247"/>
        <v>てつだいます</v>
      </c>
      <c r="D894" t="str">
        <f t="shared" si="248"/>
        <v>（手伝います）</v>
      </c>
      <c r="E894" t="str">
        <f t="shared" si="249"/>
        <v xml:space="preserve"> 〔动1〕 帮忙</v>
      </c>
    </row>
    <row r="895" spans="1:5" x14ac:dyDescent="0.15">
      <c r="A895">
        <f>ROW()</f>
        <v>895</v>
      </c>
      <c r="B895" s="27" t="s">
        <v>1124</v>
      </c>
      <c r="C895" t="str">
        <f t="shared" si="247"/>
        <v>はこびます</v>
      </c>
      <c r="D895" t="str">
        <f t="shared" si="248"/>
        <v>（運びます）</v>
      </c>
      <c r="E895" t="str">
        <f t="shared" si="249"/>
        <v xml:space="preserve"> 〔动1〕 搬运</v>
      </c>
    </row>
    <row r="896" spans="1:5" x14ac:dyDescent="0.15">
      <c r="A896">
        <f>ROW()</f>
        <v>896</v>
      </c>
      <c r="B896" s="27" t="s">
        <v>1125</v>
      </c>
      <c r="C896" t="str">
        <f t="shared" ref="C896" si="250">LEFT(B896,FIND("〔",B896)-1)</f>
        <v xml:space="preserve">なくします </v>
      </c>
      <c r="E896" t="str">
        <f t="shared" ref="E896" si="251">RIGHT(B896,LEN(B896)-FIND("〔",B896)+1)</f>
        <v>〔动1〕 丢，丢失</v>
      </c>
    </row>
    <row r="897" spans="1:5" x14ac:dyDescent="0.15">
      <c r="A897">
        <f>ROW()</f>
        <v>897</v>
      </c>
      <c r="B897" s="27" t="s">
        <v>1126</v>
      </c>
      <c r="C897" t="str">
        <f t="shared" si="247"/>
        <v>おとします</v>
      </c>
      <c r="D897" t="str">
        <f t="shared" si="248"/>
        <v>（落とします）</v>
      </c>
      <c r="E897" t="str">
        <f t="shared" si="249"/>
        <v xml:space="preserve"> 〔动1〕 掉，使落下</v>
      </c>
    </row>
    <row r="898" spans="1:5" x14ac:dyDescent="0.15">
      <c r="A898">
        <f>ROW()</f>
        <v>898</v>
      </c>
      <c r="B898" s="27" t="s">
        <v>1127</v>
      </c>
      <c r="C898" t="str">
        <f t="shared" si="247"/>
        <v>おきます</v>
      </c>
      <c r="D898" t="str">
        <f t="shared" si="248"/>
        <v>（置きます）</v>
      </c>
      <c r="E898" t="str">
        <f t="shared" si="249"/>
        <v xml:space="preserve"> 〔动1〕 放置</v>
      </c>
    </row>
    <row r="899" spans="1:5" x14ac:dyDescent="0.15">
      <c r="A899">
        <f>ROW()</f>
        <v>899</v>
      </c>
      <c r="B899" s="27" t="s">
        <v>1128</v>
      </c>
      <c r="C899" t="str">
        <f t="shared" si="247"/>
        <v>はらいます</v>
      </c>
      <c r="D899" t="str">
        <f t="shared" si="248"/>
        <v>（払います）</v>
      </c>
      <c r="E899" t="str">
        <f t="shared" si="249"/>
        <v xml:space="preserve"> 〔动1〕 支付</v>
      </c>
    </row>
    <row r="900" spans="1:5" x14ac:dyDescent="0.15">
      <c r="A900">
        <f>ROW()</f>
        <v>900</v>
      </c>
      <c r="B900" s="27" t="s">
        <v>1129</v>
      </c>
      <c r="C900" t="str">
        <f t="shared" si="247"/>
        <v>たちます</v>
      </c>
      <c r="D900" t="str">
        <f t="shared" si="248"/>
        <v>（立ちます）</v>
      </c>
      <c r="E900" t="str">
        <f t="shared" si="249"/>
        <v xml:space="preserve"> 〔动1〕 站，立</v>
      </c>
    </row>
    <row r="901" spans="1:5" x14ac:dyDescent="0.15">
      <c r="A901">
        <f>ROW()</f>
        <v>901</v>
      </c>
      <c r="B901" s="27" t="s">
        <v>1130</v>
      </c>
      <c r="C901" t="str">
        <f t="shared" si="247"/>
        <v>わすれます</v>
      </c>
      <c r="D901" t="str">
        <f t="shared" si="248"/>
        <v>（忘れます）</v>
      </c>
      <c r="E901" t="str">
        <f t="shared" si="249"/>
        <v xml:space="preserve"> 〔动2〕 忘记</v>
      </c>
    </row>
    <row r="902" spans="1:5" x14ac:dyDescent="0.15">
      <c r="A902">
        <f>ROW()</f>
        <v>902</v>
      </c>
      <c r="B902" s="27" t="s">
        <v>1131</v>
      </c>
      <c r="C902" t="str">
        <f t="shared" si="247"/>
        <v>あわてます</v>
      </c>
      <c r="D902" t="str">
        <f t="shared" si="248"/>
        <v>（慌てます）</v>
      </c>
      <c r="E902" t="str">
        <f t="shared" si="249"/>
        <v xml:space="preserve"> 〔动2〕 慌张，惊慌，着急</v>
      </c>
    </row>
    <row r="903" spans="1:5" x14ac:dyDescent="0.15">
      <c r="A903">
        <f>ROW()</f>
        <v>903</v>
      </c>
      <c r="B903" s="27" t="s">
        <v>1132</v>
      </c>
      <c r="C903" t="str">
        <f t="shared" si="247"/>
        <v>すてます</v>
      </c>
      <c r="D903" t="str">
        <f t="shared" si="248"/>
        <v>（捨てます）</v>
      </c>
      <c r="E903" t="str">
        <f t="shared" si="249"/>
        <v xml:space="preserve"> 〔动2〕 扔，扔掉</v>
      </c>
    </row>
    <row r="904" spans="1:5" x14ac:dyDescent="0.15">
      <c r="A904">
        <f>ROW()</f>
        <v>904</v>
      </c>
      <c r="B904" s="27" t="s">
        <v>1133</v>
      </c>
      <c r="C904" t="str">
        <f t="shared" si="247"/>
        <v>ざんぎょうします</v>
      </c>
      <c r="D904" t="str">
        <f t="shared" si="248"/>
        <v>（残業～）</v>
      </c>
      <c r="E904" t="str">
        <f t="shared" si="249"/>
        <v xml:space="preserve"> 〔动2〕 加班</v>
      </c>
    </row>
    <row r="905" spans="1:5" x14ac:dyDescent="0.15">
      <c r="A905">
        <f>ROW()</f>
        <v>905</v>
      </c>
      <c r="B905" s="27" t="s">
        <v>1134</v>
      </c>
      <c r="C905" t="str">
        <f t="shared" si="247"/>
        <v>しんぱいします</v>
      </c>
      <c r="D905" t="str">
        <f t="shared" si="248"/>
        <v>（心配～）</v>
      </c>
      <c r="E905" t="str">
        <f t="shared" si="249"/>
        <v xml:space="preserve"> 〔动3〕 担心</v>
      </c>
    </row>
    <row r="906" spans="1:5" x14ac:dyDescent="0.15">
      <c r="A906">
        <f>ROW()</f>
        <v>906</v>
      </c>
      <c r="B906" s="27" t="s">
        <v>1135</v>
      </c>
      <c r="C906" t="str">
        <f t="shared" si="247"/>
        <v>ほんとう</v>
      </c>
      <c r="D906" t="str">
        <f t="shared" si="248"/>
        <v>（本当）</v>
      </c>
      <c r="E906" t="str">
        <f t="shared" si="249"/>
        <v xml:space="preserve"> 〔形2〕 真的，真正</v>
      </c>
    </row>
    <row r="907" spans="1:5" x14ac:dyDescent="0.15">
      <c r="A907">
        <f>ROW()</f>
        <v>907</v>
      </c>
      <c r="B907" s="27" t="s">
        <v>1136</v>
      </c>
      <c r="C907" t="str">
        <f t="shared" si="247"/>
        <v>はやく</v>
      </c>
      <c r="D907" t="str">
        <f t="shared" si="248"/>
        <v>（早く）</v>
      </c>
      <c r="E907" t="str">
        <f t="shared" si="249"/>
        <v xml:space="preserve"> 〔副〕 早点儿</v>
      </c>
    </row>
    <row r="908" spans="1:5" x14ac:dyDescent="0.15">
      <c r="A908">
        <f>ROW()</f>
        <v>908</v>
      </c>
      <c r="B908" s="27" t="s">
        <v>1137</v>
      </c>
      <c r="C908" t="str">
        <f t="shared" ref="C908:C909" si="252">LEFT(B908,FIND("〔",B908)-1)</f>
        <v xml:space="preserve">やっと </v>
      </c>
      <c r="E908" t="str">
        <f t="shared" ref="E908:E909" si="253">RIGHT(B908,LEN(B908)-FIND("〔",B908)+1)</f>
        <v>〔副〕 好不容易，终于</v>
      </c>
    </row>
    <row r="909" spans="1:5" x14ac:dyDescent="0.15">
      <c r="A909">
        <f>ROW()</f>
        <v>909</v>
      </c>
      <c r="B909" s="27" t="s">
        <v>1138</v>
      </c>
      <c r="C909" t="str">
        <f t="shared" si="252"/>
        <v xml:space="preserve">だいぶ </v>
      </c>
      <c r="E909" t="str">
        <f t="shared" si="253"/>
        <v>〔副〕 很，相当地</v>
      </c>
    </row>
    <row r="910" spans="1:5" x14ac:dyDescent="0.15">
      <c r="A910">
        <f>ROW()</f>
        <v>910</v>
      </c>
      <c r="B910" s="27" t="s">
        <v>1139</v>
      </c>
      <c r="C910" t="str">
        <f t="shared" si="247"/>
        <v>はじめて</v>
      </c>
      <c r="D910" t="str">
        <f t="shared" si="248"/>
        <v>（初めて）</v>
      </c>
      <c r="E910" t="str">
        <f t="shared" si="249"/>
        <v xml:space="preserve"> 〔副〕 第一次</v>
      </c>
    </row>
    <row r="911" spans="1:5" x14ac:dyDescent="0.15">
      <c r="A911">
        <f>ROW()</f>
        <v>911</v>
      </c>
      <c r="B911" s="27" t="s">
        <v>1140</v>
      </c>
      <c r="C911" t="str">
        <f t="shared" si="247"/>
        <v>さきに</v>
      </c>
      <c r="D911" t="str">
        <f t="shared" si="248"/>
        <v>（先に）</v>
      </c>
      <c r="E911" t="str">
        <f t="shared" si="249"/>
        <v xml:space="preserve"> 〔副〕 先</v>
      </c>
    </row>
    <row r="912" spans="1:5" x14ac:dyDescent="0.15">
      <c r="A912">
        <f>ROW()</f>
        <v>912</v>
      </c>
      <c r="B912" s="27" t="s">
        <v>1141</v>
      </c>
      <c r="C912" t="str">
        <f t="shared" si="247"/>
        <v>やまだ</v>
      </c>
      <c r="D912" t="str">
        <f t="shared" si="248"/>
        <v>（山田）</v>
      </c>
      <c r="E912" t="str">
        <f t="shared" si="249"/>
        <v xml:space="preserve"> 〔专〕 山田</v>
      </c>
    </row>
    <row r="913" spans="1:5" x14ac:dyDescent="0.15">
      <c r="A913">
        <f>ROW()</f>
        <v>913</v>
      </c>
      <c r="B913" s="27" t="s">
        <v>1142</v>
      </c>
      <c r="C913" t="str">
        <f t="shared" si="247"/>
        <v>しゅみ</v>
      </c>
      <c r="D913" t="str">
        <f t="shared" si="248"/>
        <v>（趣味）</v>
      </c>
      <c r="E913" t="str">
        <f t="shared" si="249"/>
        <v xml:space="preserve"> 〔名〕 爱好</v>
      </c>
    </row>
    <row r="914" spans="1:5" x14ac:dyDescent="0.15">
      <c r="A914">
        <f>ROW()</f>
        <v>914</v>
      </c>
      <c r="B914" s="27" t="s">
        <v>1143</v>
      </c>
      <c r="C914" t="str">
        <f t="shared" si="247"/>
        <v>とくぎ</v>
      </c>
      <c r="D914" t="str">
        <f t="shared" si="248"/>
        <v>（特技）</v>
      </c>
      <c r="E914" t="str">
        <f t="shared" si="249"/>
        <v xml:space="preserve"> 〔名〕 特长，拿手的技术</v>
      </c>
    </row>
    <row r="915" spans="1:5" x14ac:dyDescent="0.15">
      <c r="A915">
        <f>ROW()</f>
        <v>915</v>
      </c>
      <c r="B915" s="27" t="s">
        <v>1144</v>
      </c>
      <c r="C915" t="str">
        <f t="shared" si="247"/>
        <v>きょうみ</v>
      </c>
      <c r="D915" t="str">
        <f t="shared" si="248"/>
        <v>（興味）</v>
      </c>
      <c r="E915" t="str">
        <f t="shared" si="249"/>
        <v xml:space="preserve"> 〔名〕 兴趣</v>
      </c>
    </row>
    <row r="916" spans="1:5" x14ac:dyDescent="0.15">
      <c r="A916">
        <f>ROW()</f>
        <v>916</v>
      </c>
      <c r="B916" s="27" t="s">
        <v>1145</v>
      </c>
      <c r="C916" t="str">
        <f t="shared" si="247"/>
        <v>ゆめ</v>
      </c>
      <c r="D916" t="str">
        <f t="shared" si="248"/>
        <v>（夢）</v>
      </c>
      <c r="E916" t="str">
        <f t="shared" si="249"/>
        <v xml:space="preserve"> 〔名〕 梦，理想</v>
      </c>
    </row>
    <row r="917" spans="1:5" x14ac:dyDescent="0.15">
      <c r="A917">
        <f>ROW()</f>
        <v>917</v>
      </c>
      <c r="B917" s="27" t="s">
        <v>1146</v>
      </c>
      <c r="C917" t="str">
        <f t="shared" ref="C917" si="254">LEFT(B917,FIND("〔",B917)-1)</f>
        <v xml:space="preserve">ギター </v>
      </c>
      <c r="E917" t="str">
        <f t="shared" ref="E917" si="255">RIGHT(B917,LEN(B917)-FIND("〔",B917)+1)</f>
        <v>〔名〕 吉他</v>
      </c>
    </row>
    <row r="918" spans="1:5" x14ac:dyDescent="0.15">
      <c r="A918">
        <f>ROW()</f>
        <v>918</v>
      </c>
      <c r="B918" s="27" t="s">
        <v>1147</v>
      </c>
      <c r="C918" t="str">
        <f t="shared" si="247"/>
        <v>こきゅう</v>
      </c>
      <c r="D918" t="str">
        <f t="shared" si="248"/>
        <v>（胡弓）</v>
      </c>
      <c r="E918" t="str">
        <f t="shared" si="249"/>
        <v xml:space="preserve"> 〔名〕 胡琴</v>
      </c>
    </row>
    <row r="919" spans="1:5" x14ac:dyDescent="0.15">
      <c r="A919">
        <f>ROW()</f>
        <v>919</v>
      </c>
      <c r="B919" s="27" t="s">
        <v>1148</v>
      </c>
      <c r="C919" t="str">
        <f t="shared" si="247"/>
        <v>しょどう</v>
      </c>
      <c r="D919" t="str">
        <f t="shared" si="248"/>
        <v>（書道）</v>
      </c>
      <c r="E919" t="str">
        <f t="shared" si="249"/>
        <v xml:space="preserve"> 〔名〕 书法</v>
      </c>
    </row>
    <row r="920" spans="1:5" x14ac:dyDescent="0.15">
      <c r="A920">
        <f>ROW()</f>
        <v>920</v>
      </c>
      <c r="B920" s="27" t="s">
        <v>1149</v>
      </c>
      <c r="C920" t="str">
        <f t="shared" si="247"/>
        <v>つり</v>
      </c>
      <c r="D920" t="str">
        <f t="shared" si="248"/>
        <v>（釣り）</v>
      </c>
      <c r="E920" t="str">
        <f t="shared" si="249"/>
        <v xml:space="preserve"> 〔名〕 钓鱼</v>
      </c>
    </row>
    <row r="921" spans="1:5" x14ac:dyDescent="0.15">
      <c r="A921">
        <f>ROW()</f>
        <v>921</v>
      </c>
      <c r="B921" s="27" t="s">
        <v>1150</v>
      </c>
      <c r="C921" t="str">
        <f t="shared" ref="C921" si="256">LEFT(B921,FIND("〔",B921)-1)</f>
        <v xml:space="preserve">ドライブ </v>
      </c>
      <c r="E921" t="str">
        <f t="shared" ref="E921" si="257">RIGHT(B921,LEN(B921)-FIND("〔",B921)+1)</f>
        <v>〔名〕 兜风，开汽车远游</v>
      </c>
    </row>
    <row r="922" spans="1:5" x14ac:dyDescent="0.15">
      <c r="A922">
        <f>ROW()</f>
        <v>922</v>
      </c>
      <c r="B922" s="27" t="s">
        <v>1151</v>
      </c>
      <c r="C922" t="str">
        <f t="shared" si="247"/>
        <v>あみもの</v>
      </c>
      <c r="D922" t="str">
        <f t="shared" si="248"/>
        <v>（編み物）</v>
      </c>
      <c r="E922" t="str">
        <f t="shared" si="249"/>
        <v xml:space="preserve"> 编制；编织品</v>
      </c>
    </row>
    <row r="923" spans="1:5" x14ac:dyDescent="0.15">
      <c r="A923">
        <f>ROW()</f>
        <v>923</v>
      </c>
      <c r="B923" s="27" t="s">
        <v>1152</v>
      </c>
      <c r="C923" t="str">
        <f t="shared" si="247"/>
        <v>てづくり</v>
      </c>
      <c r="D923" t="str">
        <f t="shared" si="248"/>
        <v>（手作り）</v>
      </c>
      <c r="E923" t="str">
        <f t="shared" si="249"/>
        <v xml:space="preserve"> 〔名〕 手工做，自己做，手制</v>
      </c>
    </row>
    <row r="924" spans="1:5" x14ac:dyDescent="0.15">
      <c r="A924">
        <f>ROW()</f>
        <v>924</v>
      </c>
      <c r="B924" s="27" t="s">
        <v>1153</v>
      </c>
      <c r="C924" t="str">
        <f t="shared" si="247"/>
        <v>ちゅうかがい</v>
      </c>
      <c r="D924" t="str">
        <f t="shared" si="248"/>
        <v>（中華街）</v>
      </c>
      <c r="E924" t="str">
        <f t="shared" si="249"/>
        <v xml:space="preserve"> 〔名〕 中华街</v>
      </c>
    </row>
    <row r="925" spans="1:5" x14ac:dyDescent="0.15">
      <c r="A925">
        <f>ROW()</f>
        <v>925</v>
      </c>
      <c r="B925" s="27" t="s">
        <v>1154</v>
      </c>
      <c r="C925" t="str">
        <f t="shared" si="247"/>
        <v>ちゅうかりょうり</v>
      </c>
      <c r="D925" t="str">
        <f t="shared" si="248"/>
        <v>（中華料理）</v>
      </c>
      <c r="E925" t="str">
        <f t="shared" si="249"/>
        <v xml:space="preserve"> 〔名〕 中国菜</v>
      </c>
    </row>
    <row r="926" spans="1:5" x14ac:dyDescent="0.15">
      <c r="A926">
        <f>ROW()</f>
        <v>926</v>
      </c>
      <c r="B926" s="27" t="s">
        <v>1155</v>
      </c>
      <c r="C926" t="str">
        <f t="shared" si="247"/>
        <v>ギョーザ</v>
      </c>
      <c r="D926" t="str">
        <f t="shared" si="248"/>
        <v>（餃子）</v>
      </c>
      <c r="E926" t="str">
        <f t="shared" si="249"/>
        <v xml:space="preserve"> 〔名〕 饺子</v>
      </c>
    </row>
    <row r="927" spans="1:5" x14ac:dyDescent="0.15">
      <c r="A927">
        <f>ROW()</f>
        <v>927</v>
      </c>
      <c r="B927" s="27" t="s">
        <v>1156</v>
      </c>
      <c r="C927" t="str">
        <f t="shared" si="247"/>
        <v>かわ</v>
      </c>
      <c r="D927" t="str">
        <f t="shared" si="248"/>
        <v>（皮）</v>
      </c>
      <c r="E927" t="str">
        <f t="shared" si="249"/>
        <v xml:space="preserve"> 〔名〕 皮</v>
      </c>
    </row>
    <row r="928" spans="1:5" x14ac:dyDescent="0.15">
      <c r="A928">
        <f>ROW()</f>
        <v>928</v>
      </c>
      <c r="B928" s="27" t="s">
        <v>1157</v>
      </c>
      <c r="C928" t="str">
        <f t="shared" si="247"/>
        <v>しゅんせつ</v>
      </c>
      <c r="D928" t="str">
        <f t="shared" si="248"/>
        <v>（春節）</v>
      </c>
      <c r="E928" t="str">
        <f t="shared" si="249"/>
        <v xml:space="preserve"> 〔名〕 春节</v>
      </c>
    </row>
    <row r="929" spans="1:5" x14ac:dyDescent="0.15">
      <c r="A929">
        <f>ROW()</f>
        <v>929</v>
      </c>
      <c r="B929" s="27" t="s">
        <v>1158</v>
      </c>
      <c r="C929" t="str">
        <f t="shared" si="247"/>
        <v>ししまい</v>
      </c>
      <c r="D929" t="str">
        <f t="shared" si="248"/>
        <v>（獅子舞）</v>
      </c>
      <c r="E929" t="str">
        <f t="shared" si="249"/>
        <v xml:space="preserve"> 〔名〕 狮子舞</v>
      </c>
    </row>
    <row r="930" spans="1:5" x14ac:dyDescent="0.15">
      <c r="A930">
        <f>ROW()</f>
        <v>930</v>
      </c>
      <c r="B930" s="27" t="s">
        <v>1159</v>
      </c>
      <c r="C930" t="str">
        <f t="shared" si="247"/>
        <v>りょう</v>
      </c>
      <c r="D930" t="str">
        <f t="shared" si="248"/>
        <v>（寮）</v>
      </c>
      <c r="E930" t="str">
        <f t="shared" si="249"/>
        <v xml:space="preserve"> 〔名〕 宿舍</v>
      </c>
    </row>
    <row r="931" spans="1:5" x14ac:dyDescent="0.15">
      <c r="A931">
        <f>ROW()</f>
        <v>931</v>
      </c>
      <c r="B931" s="27" t="s">
        <v>1160</v>
      </c>
      <c r="C931" t="str">
        <f t="shared" si="247"/>
        <v>せんたくき</v>
      </c>
      <c r="D931" t="str">
        <f t="shared" si="248"/>
        <v>（洗濯機）</v>
      </c>
      <c r="E931" t="str">
        <f t="shared" si="249"/>
        <v xml:space="preserve"> 〔名〕 洗衣机</v>
      </c>
    </row>
    <row r="932" spans="1:5" x14ac:dyDescent="0.15">
      <c r="A932">
        <f>ROW()</f>
        <v>932</v>
      </c>
      <c r="B932" s="27" t="s">
        <v>1161</v>
      </c>
      <c r="C932" t="str">
        <f t="shared" ref="C932:C933" si="258">LEFT(B932,FIND("〔",B932)-1)</f>
        <v xml:space="preserve">シャワー </v>
      </c>
      <c r="E932" t="str">
        <f t="shared" ref="E932:E933" si="259">RIGHT(B932,LEN(B932)-FIND("〔",B932)+1)</f>
        <v>〔名〕 淋浴</v>
      </c>
    </row>
    <row r="933" spans="1:5" x14ac:dyDescent="0.15">
      <c r="A933">
        <f>ROW()</f>
        <v>933</v>
      </c>
      <c r="B933" s="27" t="s">
        <v>1162</v>
      </c>
      <c r="C933" t="str">
        <f t="shared" si="258"/>
        <v xml:space="preserve">おなか </v>
      </c>
      <c r="E933" t="str">
        <f t="shared" si="259"/>
        <v>〔名〕 肚子</v>
      </c>
    </row>
    <row r="934" spans="1:5" x14ac:dyDescent="0.15">
      <c r="A934">
        <f>ROW()</f>
        <v>934</v>
      </c>
      <c r="B934" s="27" t="s">
        <v>1163</v>
      </c>
      <c r="C934" t="str">
        <f t="shared" si="247"/>
        <v>じゅぎょう</v>
      </c>
      <c r="D934" t="str">
        <f t="shared" si="248"/>
        <v>（授業）</v>
      </c>
      <c r="E934" t="str">
        <f t="shared" si="249"/>
        <v xml:space="preserve"> 〔名〕 授课，上课</v>
      </c>
    </row>
    <row r="935" spans="1:5" x14ac:dyDescent="0.15">
      <c r="A935">
        <f>ROW()</f>
        <v>935</v>
      </c>
      <c r="B935" s="27" t="s">
        <v>1164</v>
      </c>
      <c r="C935" t="str">
        <f t="shared" si="247"/>
        <v>しりょう</v>
      </c>
      <c r="D935" t="str">
        <f t="shared" si="248"/>
        <v>（資料）</v>
      </c>
      <c r="E935" t="str">
        <f t="shared" si="249"/>
        <v xml:space="preserve"> 〔名〕 资料</v>
      </c>
    </row>
    <row r="936" spans="1:5" x14ac:dyDescent="0.15">
      <c r="A936">
        <f>ROW()</f>
        <v>936</v>
      </c>
      <c r="B936" s="27" t="s">
        <v>1165</v>
      </c>
      <c r="C936" t="str">
        <f t="shared" si="247"/>
        <v>フランスご</v>
      </c>
      <c r="D936" t="str">
        <f t="shared" si="248"/>
        <v>（～語）</v>
      </c>
      <c r="E936" t="str">
        <f t="shared" si="249"/>
        <v xml:space="preserve"> 〔名〕 法语</v>
      </c>
    </row>
    <row r="937" spans="1:5" x14ac:dyDescent="0.15">
      <c r="A937">
        <f>ROW()</f>
        <v>937</v>
      </c>
      <c r="B937" s="27" t="s">
        <v>1166</v>
      </c>
      <c r="C937" t="str">
        <f t="shared" si="247"/>
        <v>しょうせつ</v>
      </c>
      <c r="D937" t="str">
        <f t="shared" si="248"/>
        <v>（小説）</v>
      </c>
      <c r="E937" t="str">
        <f t="shared" si="249"/>
        <v xml:space="preserve"> 〔名〕 小说</v>
      </c>
    </row>
    <row r="938" spans="1:5" x14ac:dyDescent="0.15">
      <c r="A938">
        <f>ROW()</f>
        <v>938</v>
      </c>
      <c r="B938" s="27" t="s">
        <v>1167</v>
      </c>
      <c r="C938" t="str">
        <f t="shared" si="247"/>
        <v>かいがん</v>
      </c>
      <c r="D938" t="str">
        <f t="shared" si="248"/>
        <v>（海岸）</v>
      </c>
      <c r="E938" t="str">
        <f t="shared" si="249"/>
        <v xml:space="preserve"> 〔名〕 海岸</v>
      </c>
    </row>
    <row r="939" spans="1:5" x14ac:dyDescent="0.15">
      <c r="A939">
        <f>ROW()</f>
        <v>939</v>
      </c>
      <c r="B939" s="27" t="s">
        <v>1168</v>
      </c>
      <c r="C939" t="str">
        <f t="shared" si="247"/>
        <v>ふゆやすみ</v>
      </c>
      <c r="D939" t="str">
        <f t="shared" si="248"/>
        <v>（冬休み）</v>
      </c>
      <c r="E939" t="str">
        <f t="shared" si="249"/>
        <v xml:space="preserve"> 〔名〕 寒假</v>
      </c>
    </row>
    <row r="940" spans="1:5" x14ac:dyDescent="0.15">
      <c r="A940">
        <f>ROW()</f>
        <v>940</v>
      </c>
      <c r="B940" s="27" t="s">
        <v>1169</v>
      </c>
      <c r="C940" t="str">
        <f t="shared" ref="C940:C941" si="260">LEFT(B940,FIND("〔",B940)-1)</f>
        <v xml:space="preserve">キャンプ </v>
      </c>
      <c r="E940" t="str">
        <f t="shared" ref="E940:E941" si="261">RIGHT(B940,LEN(B940)-FIND("〔",B940)+1)</f>
        <v>〔名〕 野营</v>
      </c>
    </row>
    <row r="941" spans="1:5" x14ac:dyDescent="0.15">
      <c r="A941">
        <f>ROW()</f>
        <v>941</v>
      </c>
      <c r="B941" s="27" t="s">
        <v>1170</v>
      </c>
      <c r="C941" t="str">
        <f t="shared" si="260"/>
        <v xml:space="preserve">みんな </v>
      </c>
      <c r="E941" t="str">
        <f t="shared" si="261"/>
        <v>〔名〕 大家</v>
      </c>
    </row>
    <row r="942" spans="1:5" x14ac:dyDescent="0.15">
      <c r="A942">
        <f>ROW()</f>
        <v>942</v>
      </c>
      <c r="B942" s="27" t="s">
        <v>1171</v>
      </c>
      <c r="C942" t="str">
        <f t="shared" si="247"/>
        <v>じぶん</v>
      </c>
      <c r="D942" t="str">
        <f t="shared" si="248"/>
        <v>（自分）</v>
      </c>
      <c r="E942" t="str">
        <f t="shared" si="249"/>
        <v xml:space="preserve"> 〔名〕 自己</v>
      </c>
    </row>
    <row r="943" spans="1:5" x14ac:dyDescent="0.15">
      <c r="A943">
        <f>ROW()</f>
        <v>943</v>
      </c>
      <c r="B943" s="27" t="s">
        <v>1172</v>
      </c>
      <c r="C943" t="str">
        <f t="shared" si="247"/>
        <v>ぜんいん</v>
      </c>
      <c r="D943" t="str">
        <f t="shared" si="248"/>
        <v>（全員）</v>
      </c>
      <c r="E943" t="str">
        <f t="shared" si="249"/>
        <v xml:space="preserve"> 〔名〕 全员</v>
      </c>
    </row>
    <row r="944" spans="1:5" x14ac:dyDescent="0.15">
      <c r="A944">
        <f>ROW()</f>
        <v>944</v>
      </c>
      <c r="B944" s="27" t="s">
        <v>1173</v>
      </c>
      <c r="C944" t="str">
        <f t="shared" ref="C944:C997" si="262">LEFT(B944,FIND("（",B944)-1)</f>
        <v>ひきます</v>
      </c>
      <c r="D944" t="str">
        <f t="shared" ref="D944:D997" si="263">MID(B944,FIND("（",B944),FIND("）",B944)-FIND("（",B944)+1)</f>
        <v>（弾きます）</v>
      </c>
      <c r="E944" t="str">
        <f t="shared" ref="E944:E997" si="264">RIGHT(B944,LEN(B944)-FIND("）",B944))</f>
        <v xml:space="preserve"> 〔动1〕 弹</v>
      </c>
    </row>
    <row r="945" spans="1:5" x14ac:dyDescent="0.15">
      <c r="A945">
        <f>ROW()</f>
        <v>945</v>
      </c>
      <c r="B945" s="27" t="s">
        <v>1174</v>
      </c>
      <c r="C945" t="str">
        <f t="shared" si="262"/>
        <v xml:space="preserve">すきます 〔动1〕 </v>
      </c>
      <c r="D945" t="str">
        <f t="shared" si="263"/>
        <v>（肚子）</v>
      </c>
      <c r="E945" t="str">
        <f t="shared" si="264"/>
        <v>饿，空</v>
      </c>
    </row>
    <row r="946" spans="1:5" x14ac:dyDescent="0.15">
      <c r="A946">
        <f>ROW()</f>
        <v>946</v>
      </c>
      <c r="B946" s="27" t="s">
        <v>1175</v>
      </c>
      <c r="C946" t="str">
        <f t="shared" si="262"/>
        <v>のぼります</v>
      </c>
      <c r="D946" t="str">
        <f t="shared" si="263"/>
        <v>（登ります）</v>
      </c>
      <c r="E946" t="str">
        <f t="shared" si="264"/>
        <v xml:space="preserve"> 〔动1〕 登，上</v>
      </c>
    </row>
    <row r="947" spans="1:5" x14ac:dyDescent="0.15">
      <c r="A947">
        <f>ROW()</f>
        <v>947</v>
      </c>
      <c r="B947" s="27" t="s">
        <v>1176</v>
      </c>
      <c r="C947" t="str">
        <f t="shared" si="262"/>
        <v>あつめます</v>
      </c>
      <c r="D947" t="str">
        <f t="shared" si="263"/>
        <v>（集めます）</v>
      </c>
      <c r="E947" t="str">
        <f t="shared" si="264"/>
        <v xml:space="preserve"> 〔动2〕 收集</v>
      </c>
    </row>
    <row r="948" spans="1:5" x14ac:dyDescent="0.15">
      <c r="A948">
        <f>ROW()</f>
        <v>948</v>
      </c>
      <c r="B948" s="27" t="s">
        <v>1177</v>
      </c>
      <c r="C948" t="str">
        <f t="shared" si="262"/>
        <v>あびます</v>
      </c>
      <c r="D948" t="str">
        <f t="shared" si="263"/>
        <v>（浴びます）</v>
      </c>
      <c r="E948" t="str">
        <f t="shared" si="264"/>
        <v xml:space="preserve"> 〔动2〕 淋；浇</v>
      </c>
    </row>
    <row r="949" spans="1:5" x14ac:dyDescent="0.15">
      <c r="A949">
        <f>ROW()</f>
        <v>949</v>
      </c>
      <c r="B949" s="27" t="s">
        <v>1178</v>
      </c>
      <c r="C949" t="str">
        <f t="shared" ref="C949" si="265">LEFT(B949,FIND("〔",B949)-1)</f>
        <v xml:space="preserve">ごちそうします </v>
      </c>
      <c r="E949" t="str">
        <f t="shared" ref="E949" si="266">RIGHT(B949,LEN(B949)-FIND("〔",B949)+1)</f>
        <v>〔动3〕 请客，摆盛宴</v>
      </c>
    </row>
    <row r="950" spans="1:5" x14ac:dyDescent="0.15">
      <c r="A950">
        <f>ROW()</f>
        <v>950</v>
      </c>
      <c r="B950" s="27" t="s">
        <v>1179</v>
      </c>
      <c r="C950" t="str">
        <f t="shared" si="262"/>
        <v>きこくします</v>
      </c>
      <c r="D950" t="str">
        <f t="shared" si="263"/>
        <v>（帰国～）</v>
      </c>
      <c r="E950" t="str">
        <f t="shared" si="264"/>
        <v xml:space="preserve"> 〔动3〕 回国</v>
      </c>
    </row>
    <row r="951" spans="1:5" x14ac:dyDescent="0.15">
      <c r="A951">
        <f>ROW()</f>
        <v>951</v>
      </c>
      <c r="B951" s="27" t="s">
        <v>1180</v>
      </c>
      <c r="C951" t="str">
        <f t="shared" si="262"/>
        <v>とくに</v>
      </c>
      <c r="D951" t="str">
        <f t="shared" si="263"/>
        <v>（特に）</v>
      </c>
      <c r="E951" t="str">
        <f t="shared" si="264"/>
        <v xml:space="preserve"> 〔副〕 特别</v>
      </c>
    </row>
    <row r="952" spans="1:5" x14ac:dyDescent="0.15">
      <c r="A952">
        <f>ROW()</f>
        <v>952</v>
      </c>
      <c r="B952" s="27" t="s">
        <v>1181</v>
      </c>
      <c r="C952" t="str">
        <f>LEFT(B952,FIND(" ",B952)-1)</f>
        <v>おなかがすきます</v>
      </c>
      <c r="E952" t="str">
        <f>RIGHT(B952,LEN(B952)-FIND(" ",B952)+1)</f>
        <v xml:space="preserve"> 肚子饿</v>
      </c>
    </row>
    <row r="953" spans="1:5" x14ac:dyDescent="0.15">
      <c r="A953">
        <f>ROW()</f>
        <v>953</v>
      </c>
      <c r="B953" s="27" t="s">
        <v>1182</v>
      </c>
      <c r="C953" t="str">
        <f t="shared" si="262"/>
        <v>ことば</v>
      </c>
      <c r="D953" t="str">
        <f t="shared" si="263"/>
        <v>（言葉）</v>
      </c>
      <c r="E953" t="str">
        <f t="shared" si="264"/>
        <v xml:space="preserve"> 〔名〕 语言</v>
      </c>
    </row>
    <row r="954" spans="1:5" x14ac:dyDescent="0.15">
      <c r="A954">
        <f>ROW()</f>
        <v>954</v>
      </c>
      <c r="B954" s="27" t="s">
        <v>1183</v>
      </c>
      <c r="C954" t="str">
        <f t="shared" ref="C954" si="267">LEFT(B954,FIND("〔",B954)-1)</f>
        <v xml:space="preserve">メールアドレス </v>
      </c>
      <c r="E954" t="str">
        <f t="shared" ref="E954" si="268">RIGHT(B954,LEN(B954)-FIND("〔",B954)+1)</f>
        <v>〔名〕 邮件地址</v>
      </c>
    </row>
    <row r="955" spans="1:5" x14ac:dyDescent="0.15">
      <c r="A955">
        <f>ROW()</f>
        <v>955</v>
      </c>
      <c r="B955" s="27" t="s">
        <v>1184</v>
      </c>
      <c r="C955" t="str">
        <f t="shared" si="262"/>
        <v>れんきゅう</v>
      </c>
      <c r="D955" t="str">
        <f t="shared" si="263"/>
        <v>（連休）</v>
      </c>
      <c r="E955" t="str">
        <f t="shared" si="264"/>
        <v xml:space="preserve"> 〔名〕 连休</v>
      </c>
    </row>
    <row r="956" spans="1:5" x14ac:dyDescent="0.15">
      <c r="A956">
        <f>ROW()</f>
        <v>956</v>
      </c>
      <c r="B956" s="27" t="s">
        <v>1185</v>
      </c>
      <c r="C956" t="str">
        <f t="shared" ref="C956" si="269">LEFT(B956,FIND("〔",B956)-1)</f>
        <v xml:space="preserve">ゴールデンウィーク </v>
      </c>
      <c r="E956" t="str">
        <f t="shared" ref="E956" si="270">RIGHT(B956,LEN(B956)-FIND("〔",B956)+1)</f>
        <v>〔名〕 黄金周</v>
      </c>
    </row>
    <row r="957" spans="1:5" x14ac:dyDescent="0.15">
      <c r="A957">
        <f>ROW()</f>
        <v>957</v>
      </c>
      <c r="B957" s="27" t="s">
        <v>1186</v>
      </c>
      <c r="C957" t="str">
        <f t="shared" si="262"/>
        <v>おわり</v>
      </c>
      <c r="D957" t="str">
        <f t="shared" si="263"/>
        <v>（終わり）</v>
      </c>
      <c r="E957" t="str">
        <f t="shared" si="264"/>
        <v xml:space="preserve"> 〔名〕 结束</v>
      </c>
    </row>
    <row r="958" spans="1:5" x14ac:dyDescent="0.15">
      <c r="A958">
        <f>ROW()</f>
        <v>958</v>
      </c>
      <c r="B958" s="27" t="s">
        <v>1187</v>
      </c>
      <c r="C958" t="str">
        <f t="shared" si="262"/>
        <v>きゅうけいじかん</v>
      </c>
      <c r="D958" t="str">
        <f t="shared" si="263"/>
        <v>（休憩時間）</v>
      </c>
      <c r="E958" t="str">
        <f t="shared" si="264"/>
        <v xml:space="preserve"> 〔名〕 休息时间</v>
      </c>
    </row>
    <row r="959" spans="1:5" x14ac:dyDescent="0.15">
      <c r="A959">
        <f>ROW()</f>
        <v>959</v>
      </c>
      <c r="B959" s="27" t="s">
        <v>1188</v>
      </c>
      <c r="C959" t="str">
        <f t="shared" si="262"/>
        <v>きょうげき</v>
      </c>
      <c r="D959" t="str">
        <f t="shared" si="263"/>
        <v>（京劇）</v>
      </c>
      <c r="E959" t="str">
        <f t="shared" si="264"/>
        <v xml:space="preserve"> 〔名〕 京剧</v>
      </c>
    </row>
    <row r="960" spans="1:5" x14ac:dyDescent="0.15">
      <c r="A960">
        <f>ROW()</f>
        <v>960</v>
      </c>
      <c r="B960" s="27" t="s">
        <v>1189</v>
      </c>
      <c r="C960" t="str">
        <f t="shared" si="262"/>
        <v>きっぷ</v>
      </c>
      <c r="D960" t="str">
        <f t="shared" si="263"/>
        <v>（切符）</v>
      </c>
      <c r="E960" t="str">
        <f t="shared" si="264"/>
        <v xml:space="preserve"> 〔名〕 票（券）</v>
      </c>
    </row>
    <row r="961" spans="1:5" x14ac:dyDescent="0.15">
      <c r="A961">
        <f>ROW()</f>
        <v>961</v>
      </c>
      <c r="B961" s="27" t="s">
        <v>1190</v>
      </c>
      <c r="C961" t="str">
        <f t="shared" si="262"/>
        <v>からだ</v>
      </c>
      <c r="D961" t="str">
        <f t="shared" si="263"/>
        <v>（体）</v>
      </c>
      <c r="E961" t="str">
        <f t="shared" si="264"/>
        <v xml:space="preserve"> 〔名〕 身体</v>
      </c>
    </row>
    <row r="962" spans="1:5" x14ac:dyDescent="0.15">
      <c r="A962">
        <f>ROW()</f>
        <v>962</v>
      </c>
      <c r="B962" s="27" t="s">
        <v>1191</v>
      </c>
      <c r="C962" t="str">
        <f t="shared" si="262"/>
        <v>じしん</v>
      </c>
      <c r="D962" t="str">
        <f t="shared" si="263"/>
        <v>（地震）</v>
      </c>
      <c r="E962" t="str">
        <f t="shared" si="264"/>
        <v xml:space="preserve"> 〔名〕 地震</v>
      </c>
    </row>
    <row r="963" spans="1:5" x14ac:dyDescent="0.15">
      <c r="A963">
        <f>ROW()</f>
        <v>963</v>
      </c>
      <c r="B963" s="27" t="s">
        <v>1192</v>
      </c>
      <c r="C963" t="str">
        <f t="shared" si="262"/>
        <v>どろぼう</v>
      </c>
      <c r="D963" t="str">
        <f t="shared" si="263"/>
        <v>（泥棒）</v>
      </c>
      <c r="E963" t="str">
        <f t="shared" si="264"/>
        <v xml:space="preserve"> 〔名〕 小偷，盗贼</v>
      </c>
    </row>
    <row r="964" spans="1:5" x14ac:dyDescent="0.15">
      <c r="A964">
        <f>ROW()</f>
        <v>964</v>
      </c>
      <c r="B964" s="27" t="s">
        <v>1193</v>
      </c>
      <c r="C964" t="str">
        <f t="shared" si="262"/>
        <v>ちゅうしゃじょう</v>
      </c>
      <c r="D964" t="str">
        <f t="shared" si="263"/>
        <v>（駐車場）</v>
      </c>
      <c r="E964" t="str">
        <f t="shared" si="264"/>
        <v xml:space="preserve"> 〔名〕 停车场</v>
      </c>
    </row>
    <row r="965" spans="1:5" x14ac:dyDescent="0.15">
      <c r="A965">
        <f>ROW()</f>
        <v>965</v>
      </c>
      <c r="B965" s="27" t="s">
        <v>1194</v>
      </c>
      <c r="C965" t="str">
        <f t="shared" si="262"/>
        <v>わたします</v>
      </c>
      <c r="D965" t="str">
        <f t="shared" si="263"/>
        <v>（渡します）</v>
      </c>
      <c r="E965" t="str">
        <f t="shared" si="264"/>
        <v xml:space="preserve"> 〔动1〕 交给</v>
      </c>
    </row>
    <row r="966" spans="1:5" x14ac:dyDescent="0.15">
      <c r="A966">
        <f>ROW()</f>
        <v>966</v>
      </c>
      <c r="B966" s="27" t="s">
        <v>1195</v>
      </c>
      <c r="C966" t="str">
        <f t="shared" si="262"/>
        <v>おくれます</v>
      </c>
      <c r="D966" t="str">
        <f t="shared" si="263"/>
        <v>（遅れます）</v>
      </c>
      <c r="E966" t="str">
        <f t="shared" si="264"/>
        <v xml:space="preserve"> 〔动2〕 迟到</v>
      </c>
    </row>
    <row r="967" spans="1:5" x14ac:dyDescent="0.15">
      <c r="A967">
        <f>ROW()</f>
        <v>967</v>
      </c>
      <c r="B967" s="27" t="s">
        <v>1196</v>
      </c>
      <c r="C967" t="str">
        <f t="shared" si="262"/>
        <v>かんがえます</v>
      </c>
      <c r="D967" t="str">
        <f t="shared" si="263"/>
        <v>（考えます）</v>
      </c>
      <c r="E967" t="str">
        <f t="shared" si="264"/>
        <v xml:space="preserve"> 〔动2〕 考虑</v>
      </c>
    </row>
    <row r="968" spans="1:5" x14ac:dyDescent="0.15">
      <c r="A968">
        <f>ROW()</f>
        <v>968</v>
      </c>
      <c r="B968" s="27" t="s">
        <v>1197</v>
      </c>
      <c r="C968" t="str">
        <f t="shared" si="262"/>
        <v>しらべます</v>
      </c>
      <c r="D968" t="str">
        <f t="shared" si="263"/>
        <v>（調べます）</v>
      </c>
      <c r="E968" t="str">
        <f t="shared" si="264"/>
        <v xml:space="preserve"> 〔动2〕 调查</v>
      </c>
    </row>
    <row r="969" spans="1:5" x14ac:dyDescent="0.15">
      <c r="A969">
        <f>ROW()</f>
        <v>969</v>
      </c>
      <c r="B969" s="27" t="s">
        <v>1198</v>
      </c>
      <c r="C969" t="str">
        <f t="shared" si="262"/>
        <v>きます</v>
      </c>
      <c r="D969" t="str">
        <f t="shared" si="263"/>
        <v>（着ます）</v>
      </c>
      <c r="E969" t="str">
        <f t="shared" si="264"/>
        <v xml:space="preserve"> 〔动2〕 穿</v>
      </c>
    </row>
    <row r="970" spans="1:5" x14ac:dyDescent="0.15">
      <c r="A970">
        <f>ROW()</f>
        <v>970</v>
      </c>
      <c r="B970" s="27" t="s">
        <v>1199</v>
      </c>
      <c r="C970" t="str">
        <f t="shared" si="262"/>
        <v>よやくします</v>
      </c>
      <c r="D970" t="str">
        <f t="shared" si="263"/>
        <v>（予約～）</v>
      </c>
      <c r="E970" t="str">
        <f t="shared" si="264"/>
        <v xml:space="preserve"> 〔动3〕 预约</v>
      </c>
    </row>
    <row r="971" spans="1:5" x14ac:dyDescent="0.15">
      <c r="A971">
        <f>ROW()</f>
        <v>971</v>
      </c>
      <c r="B971" s="27" t="s">
        <v>1200</v>
      </c>
      <c r="C971" t="str">
        <f t="shared" si="262"/>
        <v>かんしゃします</v>
      </c>
      <c r="D971" t="str">
        <f t="shared" si="263"/>
        <v>（感謝～）</v>
      </c>
      <c r="E971" t="str">
        <f t="shared" si="264"/>
        <v xml:space="preserve"> 〔动3〕 感谢</v>
      </c>
    </row>
    <row r="972" spans="1:5" x14ac:dyDescent="0.15">
      <c r="A972">
        <f>ROW()</f>
        <v>972</v>
      </c>
      <c r="B972" s="27" t="s">
        <v>1201</v>
      </c>
      <c r="C972" t="str">
        <f t="shared" si="262"/>
        <v>うんどうします</v>
      </c>
      <c r="D972" t="str">
        <f t="shared" si="263"/>
        <v>（運動～）</v>
      </c>
      <c r="E972" t="str">
        <f t="shared" si="264"/>
        <v xml:space="preserve"> 〔动3〕 运动</v>
      </c>
    </row>
    <row r="973" spans="1:5" x14ac:dyDescent="0.15">
      <c r="A973">
        <f>ROW()</f>
        <v>973</v>
      </c>
      <c r="B973" s="27" t="s">
        <v>1202</v>
      </c>
      <c r="C973" t="str">
        <f t="shared" si="262"/>
        <v>せんたくします</v>
      </c>
      <c r="D973" t="str">
        <f t="shared" si="263"/>
        <v>（洗濯～）</v>
      </c>
      <c r="E973" t="str">
        <f t="shared" si="264"/>
        <v xml:space="preserve"> 〔动3〕 洗涤，洗</v>
      </c>
    </row>
    <row r="974" spans="1:5" x14ac:dyDescent="0.15">
      <c r="A974">
        <f>ROW()</f>
        <v>974</v>
      </c>
      <c r="B974" s="27" t="s">
        <v>1203</v>
      </c>
      <c r="C974" t="str">
        <f t="shared" si="262"/>
        <v>ほうこくします</v>
      </c>
      <c r="D974" t="str">
        <f t="shared" si="263"/>
        <v>（報告～）</v>
      </c>
      <c r="E974" t="str">
        <f t="shared" si="264"/>
        <v xml:space="preserve"> 〔动3〕 报告</v>
      </c>
    </row>
    <row r="975" spans="1:5" x14ac:dyDescent="0.15">
      <c r="A975">
        <f>ROW()</f>
        <v>975</v>
      </c>
      <c r="B975" s="27" t="s">
        <v>1204</v>
      </c>
      <c r="C975" t="str">
        <f t="shared" si="262"/>
        <v>あぶない</v>
      </c>
      <c r="D975" t="str">
        <f t="shared" si="263"/>
        <v>（危ない）</v>
      </c>
      <c r="E975" t="str">
        <f t="shared" si="264"/>
        <v xml:space="preserve"> 〔形1〕 危险</v>
      </c>
    </row>
    <row r="976" spans="1:5" x14ac:dyDescent="0.15">
      <c r="A976">
        <f>ROW()</f>
        <v>976</v>
      </c>
      <c r="B976" s="27" t="s">
        <v>1205</v>
      </c>
      <c r="C976" t="str">
        <f t="shared" ref="C976" si="271">LEFT(B976,FIND("〔",B976)-1)</f>
        <v xml:space="preserve">これとも </v>
      </c>
      <c r="E976" t="str">
        <f t="shared" ref="E976" si="272">RIGHT(B976,LEN(B976)-FIND("〔",B976)+1)</f>
        <v>〔连〕 还是，或者</v>
      </c>
    </row>
    <row r="977" spans="1:5" x14ac:dyDescent="0.15">
      <c r="A977">
        <f>ROW()</f>
        <v>977</v>
      </c>
      <c r="B977" s="27" t="s">
        <v>1206</v>
      </c>
      <c r="C977" t="str">
        <f t="shared" si="262"/>
        <v>とうきょうタワー</v>
      </c>
      <c r="D977" t="str">
        <f t="shared" si="263"/>
        <v>（東京～）</v>
      </c>
      <c r="E977" t="str">
        <f t="shared" si="264"/>
        <v xml:space="preserve"> 〔专〕 东京塔</v>
      </c>
    </row>
    <row r="978" spans="1:5" x14ac:dyDescent="0.15">
      <c r="A978">
        <f>ROW()</f>
        <v>978</v>
      </c>
      <c r="B978" s="27" t="s">
        <v>1207</v>
      </c>
      <c r="C978" t="str">
        <f>LEFT(B978,FIND(" ",B978)-1)</f>
        <v>そんなに</v>
      </c>
      <c r="E978" t="str">
        <f>RIGHT(B978,LEN(B978)-FIND(" ",B978)+1)</f>
        <v xml:space="preserve"> 那么</v>
      </c>
    </row>
    <row r="979" spans="1:5" x14ac:dyDescent="0.15">
      <c r="A979">
        <f>ROW()</f>
        <v>979</v>
      </c>
      <c r="B979" s="27" t="s">
        <v>1208</v>
      </c>
      <c r="C979" t="str">
        <f t="shared" si="262"/>
        <v>スキーじょう</v>
      </c>
      <c r="D979" t="str">
        <f t="shared" si="263"/>
        <v>（～場）</v>
      </c>
      <c r="E979" t="str">
        <f t="shared" si="264"/>
        <v xml:space="preserve"> 〔名〕 滑雪场</v>
      </c>
    </row>
    <row r="980" spans="1:5" x14ac:dyDescent="0.15">
      <c r="A980">
        <f>ROW()</f>
        <v>980</v>
      </c>
      <c r="B980" s="27" t="s">
        <v>1209</v>
      </c>
      <c r="C980" t="str">
        <f t="shared" si="262"/>
        <v>そうべつかい</v>
      </c>
      <c r="D980" t="str">
        <f t="shared" si="263"/>
        <v>（送別会）</v>
      </c>
      <c r="E980" t="str">
        <f t="shared" si="264"/>
        <v xml:space="preserve"> 〔名〕 欢送会</v>
      </c>
    </row>
    <row r="981" spans="1:5" x14ac:dyDescent="0.15">
      <c r="A981">
        <f>ROW()</f>
        <v>981</v>
      </c>
      <c r="B981" s="27" t="s">
        <v>1210</v>
      </c>
      <c r="C981" t="str">
        <f t="shared" si="262"/>
        <v>つごう</v>
      </c>
      <c r="D981" t="str">
        <f t="shared" si="263"/>
        <v>（都合）</v>
      </c>
      <c r="E981" t="str">
        <f t="shared" si="264"/>
        <v xml:space="preserve"> 〔名〕 方便；情况</v>
      </c>
    </row>
    <row r="982" spans="1:5" x14ac:dyDescent="0.15">
      <c r="A982">
        <f>ROW()</f>
        <v>982</v>
      </c>
      <c r="B982" s="27" t="s">
        <v>1211</v>
      </c>
      <c r="C982" t="str">
        <f t="shared" si="262"/>
        <v>よてい</v>
      </c>
      <c r="D982" t="str">
        <f t="shared" si="263"/>
        <v>（予定）</v>
      </c>
      <c r="E982" t="str">
        <f t="shared" si="264"/>
        <v xml:space="preserve"> 〔名〕 预约</v>
      </c>
    </row>
    <row r="983" spans="1:5" x14ac:dyDescent="0.15">
      <c r="A983">
        <f>ROW()</f>
        <v>983</v>
      </c>
      <c r="B983" s="27" t="s">
        <v>1212</v>
      </c>
      <c r="C983" t="str">
        <f t="shared" ref="C983" si="273">LEFT(B983,FIND("〔",B983)-1)</f>
        <v xml:space="preserve">おもちゃ </v>
      </c>
      <c r="E983" t="str">
        <f t="shared" ref="E983" si="274">RIGHT(B983,LEN(B983)-FIND("〔",B983)+1)</f>
        <v>〔名〕 玩具</v>
      </c>
    </row>
    <row r="984" spans="1:5" x14ac:dyDescent="0.15">
      <c r="A984">
        <f>ROW()</f>
        <v>984</v>
      </c>
      <c r="B984" s="27" t="s">
        <v>1213</v>
      </c>
      <c r="C984" t="str">
        <f t="shared" si="262"/>
        <v>かじ</v>
      </c>
      <c r="D984" t="str">
        <f t="shared" si="263"/>
        <v>（火事）</v>
      </c>
      <c r="E984" t="str">
        <f t="shared" si="264"/>
        <v xml:space="preserve"> 〔名〕 火灾</v>
      </c>
    </row>
    <row r="985" spans="1:5" x14ac:dyDescent="0.15">
      <c r="A985">
        <f>ROW()</f>
        <v>985</v>
      </c>
      <c r="B985" s="27" t="s">
        <v>1214</v>
      </c>
      <c r="C985" t="str">
        <f t="shared" si="262"/>
        <v>きかん</v>
      </c>
      <c r="D985" t="str">
        <f t="shared" si="263"/>
        <v>（期間）</v>
      </c>
      <c r="E985" t="str">
        <f t="shared" si="264"/>
        <v xml:space="preserve"> 〔名〕 时间，期间</v>
      </c>
    </row>
    <row r="986" spans="1:5" x14ac:dyDescent="0.15">
      <c r="A986">
        <f>ROW()</f>
        <v>986</v>
      </c>
      <c r="B986" s="27" t="s">
        <v>1215</v>
      </c>
      <c r="C986" t="str">
        <f t="shared" si="262"/>
        <v>てんきん</v>
      </c>
      <c r="D986" t="str">
        <f t="shared" si="263"/>
        <v>（転勤）</v>
      </c>
      <c r="E986" t="str">
        <f t="shared" si="264"/>
        <v xml:space="preserve"> 〔名〕 调动工作</v>
      </c>
    </row>
    <row r="987" spans="1:5" x14ac:dyDescent="0.15">
      <c r="A987">
        <f>ROW()</f>
        <v>987</v>
      </c>
      <c r="B987" s="27" t="s">
        <v>1216</v>
      </c>
      <c r="C987" t="str">
        <f t="shared" si="262"/>
        <v>けいたい</v>
      </c>
      <c r="D987" t="str">
        <f t="shared" si="263"/>
        <v>（携帯）</v>
      </c>
      <c r="E987" t="str">
        <f t="shared" si="264"/>
        <v xml:space="preserve"> 〔名〕 手机</v>
      </c>
    </row>
    <row r="988" spans="1:5" x14ac:dyDescent="0.15">
      <c r="A988">
        <f>ROW()</f>
        <v>988</v>
      </c>
      <c r="B988" s="27" t="s">
        <v>1217</v>
      </c>
      <c r="C988" t="str">
        <f t="shared" ref="C988:C989" si="275">LEFT(B988,FIND("〔",B988)-1)</f>
        <v xml:space="preserve">バドミントン </v>
      </c>
      <c r="E988" t="str">
        <f t="shared" ref="E988:E989" si="276">RIGHT(B988,LEN(B988)-FIND("〔",B988)+1)</f>
        <v>〔名〕 羽毛球</v>
      </c>
    </row>
    <row r="989" spans="1:5" x14ac:dyDescent="0.15">
      <c r="A989">
        <f>ROW()</f>
        <v>989</v>
      </c>
      <c r="B989" s="27" t="s">
        <v>1218</v>
      </c>
      <c r="C989" t="str">
        <f t="shared" si="275"/>
        <v xml:space="preserve">ラケット </v>
      </c>
      <c r="E989" t="str">
        <f t="shared" si="276"/>
        <v>〔名〕 球拍</v>
      </c>
    </row>
    <row r="990" spans="1:5" x14ac:dyDescent="0.15">
      <c r="A990">
        <f>ROW()</f>
        <v>990</v>
      </c>
      <c r="B990" s="27" t="s">
        <v>1219</v>
      </c>
      <c r="C990" t="str">
        <f t="shared" si="262"/>
        <v>おくさん</v>
      </c>
      <c r="D990" t="str">
        <f t="shared" si="263"/>
        <v>（奥さん）</v>
      </c>
      <c r="E990" t="str">
        <f t="shared" si="264"/>
        <v xml:space="preserve"> 〔名〕 夫人，（别人的）爱人</v>
      </c>
    </row>
    <row r="991" spans="1:5" x14ac:dyDescent="0.15">
      <c r="A991">
        <f>ROW()</f>
        <v>991</v>
      </c>
      <c r="B991" s="27" t="s">
        <v>1220</v>
      </c>
      <c r="C991" t="str">
        <f t="shared" si="262"/>
        <v>かしゅ</v>
      </c>
      <c r="D991" t="str">
        <f t="shared" si="263"/>
        <v>（歌手）</v>
      </c>
      <c r="E991" t="str">
        <f t="shared" si="264"/>
        <v xml:space="preserve"> 〔名〕 歌手</v>
      </c>
    </row>
    <row r="992" spans="1:5" x14ac:dyDescent="0.15">
      <c r="A992">
        <f>ROW()</f>
        <v>992</v>
      </c>
      <c r="B992" s="27" t="s">
        <v>1221</v>
      </c>
      <c r="C992" t="str">
        <f t="shared" si="262"/>
        <v>だいとうりょう</v>
      </c>
      <c r="D992" t="str">
        <f t="shared" si="263"/>
        <v>（大統領）</v>
      </c>
      <c r="E992" t="str">
        <f t="shared" si="264"/>
        <v xml:space="preserve"> 〔名〕 总统</v>
      </c>
    </row>
    <row r="993" spans="1:5" x14ac:dyDescent="0.15">
      <c r="A993">
        <f>ROW()</f>
        <v>993</v>
      </c>
      <c r="B993" s="27" t="s">
        <v>1222</v>
      </c>
      <c r="C993" t="str">
        <f t="shared" ref="C993:C994" si="277">LEFT(B993,FIND("〔",B993)-1)</f>
        <v xml:space="preserve">やります </v>
      </c>
      <c r="E993" t="str">
        <f t="shared" ref="E993:E994" si="278">RIGHT(B993,LEN(B993)-FIND("〔",B993)+1)</f>
        <v>〔动1〕 做</v>
      </c>
    </row>
    <row r="994" spans="1:5" x14ac:dyDescent="0.15">
      <c r="A994">
        <f>ROW()</f>
        <v>994</v>
      </c>
      <c r="B994" s="27" t="s">
        <v>1223</v>
      </c>
      <c r="C994" t="str">
        <f t="shared" si="277"/>
        <v xml:space="preserve">うれしい </v>
      </c>
      <c r="E994" t="str">
        <f t="shared" si="278"/>
        <v>〔形1〕 高兴</v>
      </c>
    </row>
    <row r="995" spans="1:5" x14ac:dyDescent="0.15">
      <c r="A995">
        <f>ROW()</f>
        <v>995</v>
      </c>
      <c r="B995" s="27" t="s">
        <v>1224</v>
      </c>
      <c r="C995" t="str">
        <f t="shared" si="262"/>
        <v>ねむい</v>
      </c>
      <c r="D995" t="str">
        <f t="shared" si="263"/>
        <v>（眠い）</v>
      </c>
      <c r="E995" t="str">
        <f t="shared" si="264"/>
        <v xml:space="preserve"> 〔形1〕 困倦</v>
      </c>
    </row>
    <row r="996" spans="1:5" x14ac:dyDescent="0.15">
      <c r="A996">
        <f>ROW()</f>
        <v>996</v>
      </c>
      <c r="B996" s="27" t="s">
        <v>1225</v>
      </c>
      <c r="C996" t="str">
        <f t="shared" si="262"/>
        <v>おもい</v>
      </c>
      <c r="D996" t="str">
        <f t="shared" si="263"/>
        <v>（重い）</v>
      </c>
      <c r="E996" t="str">
        <f t="shared" si="264"/>
        <v xml:space="preserve"> 〔形1〕 重，沉重</v>
      </c>
    </row>
    <row r="997" spans="1:5" x14ac:dyDescent="0.15">
      <c r="A997">
        <f>ROW()</f>
        <v>997</v>
      </c>
      <c r="B997" s="27" t="s">
        <v>1226</v>
      </c>
      <c r="C997" t="str">
        <f t="shared" si="262"/>
        <v>きゅう</v>
      </c>
      <c r="D997" t="str">
        <f t="shared" si="263"/>
        <v>（急）</v>
      </c>
      <c r="E997" t="str">
        <f t="shared" si="264"/>
        <v xml:space="preserve"> 〔形2〕 突然；紧急</v>
      </c>
    </row>
    <row r="998" spans="1:5" x14ac:dyDescent="0.15">
      <c r="A998">
        <f>ROW()</f>
        <v>998</v>
      </c>
      <c r="B998" s="27" t="s">
        <v>1227</v>
      </c>
      <c r="C998" t="str">
        <f t="shared" ref="C998:C1001" si="279">LEFT(B998,FIND("〔",B998)-1)</f>
        <v xml:space="preserve">まあまあ </v>
      </c>
      <c r="E998" t="str">
        <f t="shared" ref="E998:E1001" si="280">RIGHT(B998,LEN(B998)-FIND("〔",B998)+1)</f>
        <v>〔副〕 大致，还算</v>
      </c>
    </row>
    <row r="999" spans="1:5" x14ac:dyDescent="0.15">
      <c r="A999">
        <f>ROW()</f>
        <v>999</v>
      </c>
      <c r="B999" s="27" t="s">
        <v>1228</v>
      </c>
      <c r="C999" t="str">
        <f t="shared" si="279"/>
        <v xml:space="preserve">ごめん </v>
      </c>
      <c r="E999" t="str">
        <f t="shared" si="280"/>
        <v>〔叹〕 抱歉，请原谅</v>
      </c>
    </row>
    <row r="1000" spans="1:5" x14ac:dyDescent="0.15">
      <c r="A1000">
        <f>ROW()</f>
        <v>1000</v>
      </c>
      <c r="B1000" s="27" t="s">
        <v>1229</v>
      </c>
      <c r="C1000" t="str">
        <f t="shared" si="279"/>
        <v xml:space="preserve">ううん∕いや </v>
      </c>
      <c r="E1000" t="str">
        <f t="shared" si="280"/>
        <v>〔叹〕 不</v>
      </c>
    </row>
    <row r="1001" spans="1:5" x14ac:dyDescent="0.15">
      <c r="A1001">
        <f>ROW()</f>
        <v>1001</v>
      </c>
      <c r="B1001" s="27" t="s">
        <v>1230</v>
      </c>
      <c r="C1001" t="str">
        <f t="shared" si="279"/>
        <v xml:space="preserve">うん </v>
      </c>
      <c r="E1001" t="str">
        <f t="shared" si="280"/>
        <v>〔叹〕 嗯</v>
      </c>
    </row>
    <row r="1002" spans="1:5" x14ac:dyDescent="0.15">
      <c r="A1002">
        <f>ROW()</f>
        <v>1002</v>
      </c>
      <c r="B1002" s="27" t="s">
        <v>1231</v>
      </c>
      <c r="C1002" t="str">
        <f t="shared" ref="C1002:C1051" si="281">LEFT(B1002,FIND("（",B1002)-1)</f>
        <v>しみず</v>
      </c>
      <c r="D1002" t="str">
        <f t="shared" ref="D1002:D1051" si="282">MID(B1002,FIND("（",B1002),FIND("）",B1002)-FIND("（",B1002)+1)</f>
        <v>（清水）</v>
      </c>
      <c r="E1002" t="str">
        <f t="shared" ref="E1002:E1051" si="283">RIGHT(B1002,LEN(B1002)-FIND("）",B1002))</f>
        <v xml:space="preserve"> 〔专〕 清水</v>
      </c>
    </row>
    <row r="1003" spans="1:5" x14ac:dyDescent="0.15">
      <c r="A1003">
        <f>ROW()</f>
        <v>1003</v>
      </c>
      <c r="B1003" s="27" t="s">
        <v>1232</v>
      </c>
      <c r="C1003" t="str">
        <f t="shared" si="281"/>
        <v>おおた</v>
      </c>
      <c r="D1003" t="str">
        <f t="shared" si="282"/>
        <v>（太田）</v>
      </c>
      <c r="E1003" t="str">
        <f t="shared" si="283"/>
        <v xml:space="preserve"> 〔专〕 太田</v>
      </c>
    </row>
    <row r="1004" spans="1:5" x14ac:dyDescent="0.15">
      <c r="A1004">
        <f>ROW()</f>
        <v>1004</v>
      </c>
      <c r="B1004" s="27" t="s">
        <v>1233</v>
      </c>
      <c r="C1004" t="str">
        <f t="shared" ref="C1004:C1005" si="284">LEFT(B1004,FIND("〔",B1004)-1)</f>
        <v xml:space="preserve">モーツァルト </v>
      </c>
      <c r="E1004" t="str">
        <f t="shared" ref="E1004:E1005" si="285">RIGHT(B1004,LEN(B1004)-FIND("〔",B1004)+1)</f>
        <v>〔专〕 莫扎特</v>
      </c>
    </row>
    <row r="1005" spans="1:5" x14ac:dyDescent="0.15">
      <c r="A1005">
        <f>ROW()</f>
        <v>1005</v>
      </c>
      <c r="B1005" s="27" t="s">
        <v>1234</v>
      </c>
      <c r="C1005" t="str">
        <f t="shared" si="284"/>
        <v xml:space="preserve">ディズニーランド </v>
      </c>
      <c r="E1005" t="str">
        <f t="shared" si="285"/>
        <v>〔专〕 迪斯尼乐园</v>
      </c>
    </row>
    <row r="1006" spans="1:5" x14ac:dyDescent="0.15">
      <c r="A1006">
        <f>ROW()</f>
        <v>1006</v>
      </c>
      <c r="B1006" s="27" t="s">
        <v>1235</v>
      </c>
      <c r="C1006" t="str">
        <f t="shared" si="281"/>
        <v>しゅうまつ</v>
      </c>
      <c r="D1006" t="str">
        <f t="shared" si="282"/>
        <v>（週末）</v>
      </c>
      <c r="E1006" t="str">
        <f t="shared" si="283"/>
        <v xml:space="preserve"> 〔名〕 周末</v>
      </c>
    </row>
    <row r="1007" spans="1:5" x14ac:dyDescent="0.15">
      <c r="A1007">
        <f>ROW()</f>
        <v>1007</v>
      </c>
      <c r="B1007" s="27" t="s">
        <v>1236</v>
      </c>
      <c r="C1007" t="str">
        <f t="shared" ref="C1007" si="286">LEFT(B1007,FIND("〔",B1007)-1)</f>
        <v xml:space="preserve">スケート </v>
      </c>
      <c r="E1007" t="str">
        <f t="shared" ref="E1007" si="287">RIGHT(B1007,LEN(B1007)-FIND("〔",B1007)+1)</f>
        <v>〔名〕 滑冰，溜冰</v>
      </c>
    </row>
    <row r="1008" spans="1:5" x14ac:dyDescent="0.15">
      <c r="A1008">
        <f>ROW()</f>
        <v>1008</v>
      </c>
      <c r="B1008" s="27" t="s">
        <v>1237</v>
      </c>
      <c r="C1008" t="str">
        <f t="shared" si="281"/>
        <v>あじ</v>
      </c>
      <c r="D1008" t="str">
        <f t="shared" si="282"/>
        <v>（味）</v>
      </c>
      <c r="E1008" t="str">
        <f t="shared" si="283"/>
        <v xml:space="preserve"> 〔名〕 口味，（食物的）味道</v>
      </c>
    </row>
    <row r="1009" spans="1:5" x14ac:dyDescent="0.15">
      <c r="A1009">
        <f>ROW()</f>
        <v>1009</v>
      </c>
      <c r="B1009" s="27" t="s">
        <v>1238</v>
      </c>
      <c r="C1009" t="str">
        <f t="shared" si="281"/>
        <v>まいかい</v>
      </c>
      <c r="D1009" t="str">
        <f t="shared" si="282"/>
        <v>（毎回）</v>
      </c>
      <c r="E1009" t="str">
        <f t="shared" si="283"/>
        <v xml:space="preserve"> 〔名〕 每次，每回</v>
      </c>
    </row>
    <row r="1010" spans="1:5" x14ac:dyDescent="0.15">
      <c r="A1010">
        <f>ROW()</f>
        <v>1010</v>
      </c>
      <c r="B1010" s="27" t="s">
        <v>1239</v>
      </c>
      <c r="C1010" t="str">
        <f t="shared" si="281"/>
        <v>つうきん</v>
      </c>
      <c r="D1010" t="str">
        <f t="shared" si="282"/>
        <v>（通勤）</v>
      </c>
      <c r="E1010" t="str">
        <f t="shared" si="283"/>
        <v xml:space="preserve"> 〔名〕 上下班，通勤</v>
      </c>
    </row>
    <row r="1011" spans="1:5" x14ac:dyDescent="0.15">
      <c r="A1011">
        <f>ROW()</f>
        <v>1011</v>
      </c>
      <c r="B1011" s="27" t="s">
        <v>1240</v>
      </c>
      <c r="C1011" t="str">
        <f t="shared" si="281"/>
        <v>ふね</v>
      </c>
      <c r="D1011" t="str">
        <f t="shared" si="282"/>
        <v>（船）</v>
      </c>
      <c r="E1011" t="str">
        <f t="shared" si="283"/>
        <v xml:space="preserve"> 〔名〕 船</v>
      </c>
    </row>
    <row r="1012" spans="1:5" x14ac:dyDescent="0.15">
      <c r="A1012">
        <f>ROW()</f>
        <v>1012</v>
      </c>
      <c r="B1012" s="27" t="s">
        <v>1241</v>
      </c>
      <c r="C1012" t="str">
        <f t="shared" si="281"/>
        <v>きじ</v>
      </c>
      <c r="D1012" t="str">
        <f t="shared" si="282"/>
        <v>（生地）</v>
      </c>
      <c r="E1012" t="str">
        <f t="shared" si="283"/>
        <v xml:space="preserve"> 〔名〕 布料，衣料</v>
      </c>
    </row>
    <row r="1013" spans="1:5" x14ac:dyDescent="0.15">
      <c r="A1013">
        <f>ROW()</f>
        <v>1013</v>
      </c>
      <c r="B1013" s="27" t="s">
        <v>1242</v>
      </c>
      <c r="C1013" t="str">
        <f t="shared" si="281"/>
        <v>へいてんじこく</v>
      </c>
      <c r="D1013" t="str">
        <f t="shared" si="282"/>
        <v>（閉店時刻）</v>
      </c>
      <c r="E1013" t="str">
        <f t="shared" si="283"/>
        <v xml:space="preserve"> 〔名〕 关门时间</v>
      </c>
    </row>
    <row r="1014" spans="1:5" x14ac:dyDescent="0.15">
      <c r="A1014">
        <f>ROW()</f>
        <v>1014</v>
      </c>
      <c r="B1014" s="27" t="s">
        <v>1243</v>
      </c>
      <c r="C1014" t="str">
        <f t="shared" si="281"/>
        <v>そつぎょうしき</v>
      </c>
      <c r="D1014" t="str">
        <f t="shared" si="282"/>
        <v>（卒業式）</v>
      </c>
      <c r="E1014" t="str">
        <f t="shared" si="283"/>
        <v xml:space="preserve"> 〔名〕 毕业典礼</v>
      </c>
    </row>
    <row r="1015" spans="1:5" x14ac:dyDescent="0.15">
      <c r="A1015">
        <f>ROW()</f>
        <v>1015</v>
      </c>
      <c r="B1015" s="27" t="s">
        <v>1244</v>
      </c>
      <c r="C1015" t="str">
        <f t="shared" si="281"/>
        <v>ちがいます</v>
      </c>
      <c r="D1015" t="str">
        <f t="shared" si="282"/>
        <v>（違います）</v>
      </c>
      <c r="E1015" t="str">
        <f t="shared" si="283"/>
        <v xml:space="preserve"> 〔动1〕 不同，不一样</v>
      </c>
    </row>
    <row r="1016" spans="1:5" x14ac:dyDescent="0.15">
      <c r="A1016">
        <f>ROW()</f>
        <v>1016</v>
      </c>
      <c r="B1016" s="27" t="s">
        <v>1245</v>
      </c>
      <c r="C1016" t="str">
        <f t="shared" si="281"/>
        <v>こみます</v>
      </c>
      <c r="D1016" t="str">
        <f t="shared" si="282"/>
        <v>（込みます）</v>
      </c>
      <c r="E1016" t="str">
        <f t="shared" si="283"/>
        <v xml:space="preserve"> 〔动1〕 拥挤，混杂</v>
      </c>
    </row>
    <row r="1017" spans="1:5" x14ac:dyDescent="0.15">
      <c r="A1017">
        <f>ROW()</f>
        <v>1017</v>
      </c>
      <c r="B1017" s="27" t="s">
        <v>1246</v>
      </c>
      <c r="C1017" t="str">
        <f t="shared" si="281"/>
        <v>きまります</v>
      </c>
      <c r="D1017" t="str">
        <f t="shared" si="282"/>
        <v>（決まります）</v>
      </c>
      <c r="E1017" t="str">
        <f t="shared" si="283"/>
        <v xml:space="preserve"> 〔动1〕 定，决定</v>
      </c>
    </row>
    <row r="1018" spans="1:5" x14ac:dyDescent="0.15">
      <c r="A1018">
        <f>ROW()</f>
        <v>1018</v>
      </c>
      <c r="B1018" s="27" t="s">
        <v>1247</v>
      </c>
      <c r="C1018" t="str">
        <f t="shared" si="281"/>
        <v>しらせます</v>
      </c>
      <c r="D1018" t="str">
        <f t="shared" si="282"/>
        <v>（知らせます）</v>
      </c>
      <c r="E1018" t="str">
        <f t="shared" si="283"/>
        <v xml:space="preserve"> 〔动2〕 告诉</v>
      </c>
    </row>
    <row r="1019" spans="1:5" x14ac:dyDescent="0.15">
      <c r="A1019">
        <f>ROW()</f>
        <v>1019</v>
      </c>
      <c r="B1019" s="27" t="s">
        <v>1292</v>
      </c>
      <c r="C1019" t="str">
        <f t="shared" si="281"/>
        <v>たしかめます</v>
      </c>
      <c r="D1019" t="str">
        <f t="shared" si="282"/>
        <v>（確かめます）</v>
      </c>
      <c r="E1019" t="str">
        <f t="shared" si="283"/>
        <v xml:space="preserve"> 〔动2〕 查（看），弄清</v>
      </c>
    </row>
    <row r="1020" spans="1:5" x14ac:dyDescent="0.15">
      <c r="A1020">
        <f>ROW()</f>
        <v>1020</v>
      </c>
      <c r="B1020" s="27" t="s">
        <v>1248</v>
      </c>
      <c r="C1020" t="str">
        <f t="shared" si="281"/>
        <v>こい</v>
      </c>
      <c r="D1020" t="str">
        <f t="shared" si="282"/>
        <v>（濃い）</v>
      </c>
      <c r="E1020" t="str">
        <f t="shared" si="283"/>
        <v xml:space="preserve"> 〔形1〕 （口味）重；浓</v>
      </c>
    </row>
    <row r="1021" spans="1:5" x14ac:dyDescent="0.15">
      <c r="A1021">
        <f>ROW()</f>
        <v>1021</v>
      </c>
      <c r="B1021" s="27" t="s">
        <v>1249</v>
      </c>
      <c r="C1021" t="str">
        <f t="shared" si="281"/>
        <v>うすい</v>
      </c>
      <c r="D1021" t="str">
        <f t="shared" si="282"/>
        <v>（薄い）</v>
      </c>
      <c r="E1021" t="str">
        <f t="shared" si="283"/>
        <v xml:space="preserve"> 〔形1〕 （口味）轻；薄</v>
      </c>
    </row>
    <row r="1022" spans="1:5" x14ac:dyDescent="0.15">
      <c r="A1022">
        <f>ROW()</f>
        <v>1022</v>
      </c>
      <c r="B1022" s="27" t="s">
        <v>1250</v>
      </c>
      <c r="C1022" t="str">
        <f t="shared" si="281"/>
        <v>はやい</v>
      </c>
      <c r="D1022" t="str">
        <f t="shared" si="282"/>
        <v>（早い）</v>
      </c>
      <c r="E1022" t="str">
        <f t="shared" si="283"/>
        <v xml:space="preserve"> 〔形1〕 早</v>
      </c>
    </row>
    <row r="1023" spans="1:5" x14ac:dyDescent="0.15">
      <c r="A1023">
        <f>ROW()</f>
        <v>1023</v>
      </c>
      <c r="B1023" s="27" t="s">
        <v>1251</v>
      </c>
      <c r="C1023" t="str">
        <f t="shared" si="281"/>
        <v>おそい</v>
      </c>
      <c r="D1023" t="str">
        <f t="shared" si="282"/>
        <v>（遅い）</v>
      </c>
      <c r="E1023" t="str">
        <f t="shared" si="283"/>
        <v xml:space="preserve"> 〔形1〕 晚，慢</v>
      </c>
    </row>
    <row r="1024" spans="1:5" x14ac:dyDescent="0.15">
      <c r="A1024">
        <f>ROW()</f>
        <v>1024</v>
      </c>
      <c r="B1024" s="27" t="s">
        <v>1252</v>
      </c>
      <c r="C1024" t="str">
        <f t="shared" ref="C1024" si="288">LEFT(B1024,FIND("〔",B1024)-1)</f>
        <v xml:space="preserve">たぶん </v>
      </c>
      <c r="E1024" t="str">
        <f t="shared" ref="E1024" si="289">RIGHT(B1024,LEN(B1024)-FIND("〔",B1024)+1)</f>
        <v>〔副〕 可能，大概</v>
      </c>
    </row>
    <row r="1025" spans="1:5" x14ac:dyDescent="0.15">
      <c r="A1025">
        <f>ROW()</f>
        <v>1025</v>
      </c>
      <c r="B1025" s="27" t="s">
        <v>1253</v>
      </c>
      <c r="C1025" t="str">
        <f t="shared" si="281"/>
        <v>とうきょうえき</v>
      </c>
      <c r="D1025" t="str">
        <f t="shared" si="282"/>
        <v>（東京駅）</v>
      </c>
      <c r="E1025" t="str">
        <f t="shared" si="283"/>
        <v xml:space="preserve"> 〔专〕 东京站</v>
      </c>
    </row>
    <row r="1026" spans="1:5" x14ac:dyDescent="0.15">
      <c r="A1026">
        <f>ROW()</f>
        <v>1026</v>
      </c>
      <c r="B1026" s="27" t="s">
        <v>1254</v>
      </c>
      <c r="C1026" t="str">
        <f t="shared" ref="C1026" si="290">LEFT(B1026,FIND("〔",B1026)-1)</f>
        <v xml:space="preserve">ハイキング </v>
      </c>
      <c r="E1026" t="str">
        <f t="shared" ref="E1026" si="291">RIGHT(B1026,LEN(B1026)-FIND("〔",B1026)+1)</f>
        <v>〔名〕 郊游，远足</v>
      </c>
    </row>
    <row r="1027" spans="1:5" x14ac:dyDescent="0.15">
      <c r="A1027">
        <f>ROW()</f>
        <v>1027</v>
      </c>
      <c r="B1027" s="27" t="s">
        <v>1255</v>
      </c>
      <c r="C1027" t="str">
        <f t="shared" si="281"/>
        <v>おわかれ</v>
      </c>
      <c r="D1027" t="str">
        <f t="shared" si="282"/>
        <v>（お別れ）</v>
      </c>
      <c r="E1027" t="str">
        <f t="shared" si="283"/>
        <v xml:space="preserve"> 〔名〕 分别，分手</v>
      </c>
    </row>
    <row r="1028" spans="1:5" x14ac:dyDescent="0.15">
      <c r="A1028">
        <f>ROW()</f>
        <v>1028</v>
      </c>
      <c r="B1028" s="27" t="s">
        <v>1256</v>
      </c>
      <c r="C1028" t="str">
        <f t="shared" si="281"/>
        <v>はなし</v>
      </c>
      <c r="D1028" t="str">
        <f t="shared" si="282"/>
        <v>（話）</v>
      </c>
      <c r="E1028" t="str">
        <f t="shared" si="283"/>
        <v xml:space="preserve"> 〔名〕 说话</v>
      </c>
    </row>
    <row r="1029" spans="1:5" x14ac:dyDescent="0.15">
      <c r="A1029">
        <f>ROW()</f>
        <v>1029</v>
      </c>
      <c r="B1029" s="27" t="s">
        <v>1257</v>
      </c>
      <c r="C1029" t="str">
        <f t="shared" si="281"/>
        <v>みおくり</v>
      </c>
      <c r="D1029" t="str">
        <f t="shared" si="282"/>
        <v>（見送り）</v>
      </c>
      <c r="E1029" t="str">
        <f t="shared" si="283"/>
        <v xml:space="preserve"> 〔名〕 送行，送别</v>
      </c>
    </row>
    <row r="1030" spans="1:5" x14ac:dyDescent="0.15">
      <c r="A1030">
        <f>ROW()</f>
        <v>1030</v>
      </c>
      <c r="B1030" s="27" t="s">
        <v>1258</v>
      </c>
      <c r="C1030" t="str">
        <f t="shared" si="281"/>
        <v>あいだ</v>
      </c>
      <c r="D1030" t="str">
        <f t="shared" si="282"/>
        <v>（間）</v>
      </c>
      <c r="E1030" t="str">
        <f t="shared" si="283"/>
        <v xml:space="preserve"> 〔名〕 时间，期间</v>
      </c>
    </row>
    <row r="1031" spans="1:5" x14ac:dyDescent="0.15">
      <c r="A1031">
        <f>ROW()</f>
        <v>1031</v>
      </c>
      <c r="B1031" s="27" t="s">
        <v>1259</v>
      </c>
      <c r="C1031" t="str">
        <f t="shared" si="281"/>
        <v>ほうりつ</v>
      </c>
      <c r="D1031" t="str">
        <f t="shared" si="282"/>
        <v>（法律）</v>
      </c>
      <c r="E1031" t="str">
        <f t="shared" si="283"/>
        <v xml:space="preserve"> 〔名〕 法律</v>
      </c>
    </row>
    <row r="1032" spans="1:5" x14ac:dyDescent="0.15">
      <c r="A1032">
        <f>ROW()</f>
        <v>1032</v>
      </c>
      <c r="B1032" s="27" t="s">
        <v>1260</v>
      </c>
      <c r="C1032" t="str">
        <f t="shared" si="281"/>
        <v>おもいます</v>
      </c>
      <c r="D1032" t="str">
        <f t="shared" si="282"/>
        <v>（思います）</v>
      </c>
      <c r="E1032" t="str">
        <f t="shared" si="283"/>
        <v xml:space="preserve"> 〔动1〕 想，思考</v>
      </c>
    </row>
    <row r="1033" spans="1:5" ht="14.25" customHeight="1" x14ac:dyDescent="0.15">
      <c r="A1033">
        <f>ROW()</f>
        <v>1033</v>
      </c>
      <c r="B1033" s="27" t="s">
        <v>1261</v>
      </c>
      <c r="C1033" t="str">
        <f t="shared" si="281"/>
        <v>いいます</v>
      </c>
      <c r="D1033" t="str">
        <f t="shared" si="282"/>
        <v>（言います）</v>
      </c>
      <c r="E1033" t="str">
        <f t="shared" si="283"/>
        <v xml:space="preserve"> 〔动1〕 说，讲</v>
      </c>
    </row>
    <row r="1034" spans="1:5" x14ac:dyDescent="0.15">
      <c r="A1034">
        <f>ROW()</f>
        <v>1034</v>
      </c>
      <c r="B1034" s="27" t="s">
        <v>1262</v>
      </c>
      <c r="C1034" t="str">
        <f t="shared" si="281"/>
        <v>さがします</v>
      </c>
      <c r="D1034" t="str">
        <f t="shared" si="282"/>
        <v>（探します）</v>
      </c>
      <c r="E1034" t="str">
        <f t="shared" si="283"/>
        <v xml:space="preserve"> 〔动1〕 找，寻找，寻求</v>
      </c>
    </row>
    <row r="1035" spans="1:5" x14ac:dyDescent="0.15">
      <c r="A1035">
        <f>ROW()</f>
        <v>1035</v>
      </c>
      <c r="B1035" s="27" t="s">
        <v>1263</v>
      </c>
      <c r="C1035" t="str">
        <f t="shared" si="281"/>
        <v>わらいます</v>
      </c>
      <c r="D1035" t="str">
        <f t="shared" si="282"/>
        <v>（笑います）</v>
      </c>
      <c r="E1035" t="str">
        <f t="shared" si="283"/>
        <v xml:space="preserve"> 〔动1〕 笑</v>
      </c>
    </row>
    <row r="1036" spans="1:5" x14ac:dyDescent="0.15">
      <c r="A1036">
        <f>ROW()</f>
        <v>1036</v>
      </c>
      <c r="B1036" s="27" t="s">
        <v>1264</v>
      </c>
      <c r="C1036" t="str">
        <f t="shared" ref="C1036" si="292">LEFT(B1036,FIND("〔",B1036)-1)</f>
        <v xml:space="preserve">やめます </v>
      </c>
      <c r="E1036" t="str">
        <f t="shared" ref="E1036" si="293">RIGHT(B1036,LEN(B1036)-FIND("〔",B1036)+1)</f>
        <v>〔动2〕 戒，停止，放弃</v>
      </c>
    </row>
    <row r="1037" spans="1:5" x14ac:dyDescent="0.15">
      <c r="A1037">
        <f>ROW()</f>
        <v>1037</v>
      </c>
      <c r="B1037" s="27" t="s">
        <v>1265</v>
      </c>
      <c r="C1037" t="str">
        <f t="shared" si="281"/>
        <v>きめます</v>
      </c>
      <c r="D1037" t="str">
        <f t="shared" si="282"/>
        <v>（決めます）</v>
      </c>
      <c r="E1037" t="str">
        <f t="shared" si="283"/>
        <v xml:space="preserve"> 〔动2〕 决定</v>
      </c>
    </row>
    <row r="1038" spans="1:5" x14ac:dyDescent="0.15">
      <c r="A1038">
        <f>ROW()</f>
        <v>1038</v>
      </c>
      <c r="B1038" s="27" t="s">
        <v>1266</v>
      </c>
      <c r="C1038" t="str">
        <f t="shared" si="281"/>
        <v>ねぼうします</v>
      </c>
      <c r="D1038" t="str">
        <f t="shared" si="282"/>
        <v>（寝坊～）</v>
      </c>
      <c r="E1038" t="str">
        <f t="shared" si="283"/>
        <v xml:space="preserve"> 〔动3〕 睡懒觉</v>
      </c>
    </row>
    <row r="1039" spans="1:5" x14ac:dyDescent="0.15">
      <c r="A1039">
        <f>ROW()</f>
        <v>1039</v>
      </c>
      <c r="B1039" s="27" t="s">
        <v>1267</v>
      </c>
      <c r="C1039" t="str">
        <f t="shared" si="281"/>
        <v>がいしゅつします</v>
      </c>
      <c r="D1039" t="str">
        <f t="shared" si="282"/>
        <v>（外出～）</v>
      </c>
      <c r="E1039" t="str">
        <f t="shared" si="283"/>
        <v xml:space="preserve"> 〔动3〕 外出，出去</v>
      </c>
    </row>
    <row r="1040" spans="1:5" x14ac:dyDescent="0.15">
      <c r="A1040">
        <f>ROW()</f>
        <v>1040</v>
      </c>
      <c r="B1040" s="27" t="s">
        <v>1268</v>
      </c>
      <c r="C1040" t="str">
        <f t="shared" si="281"/>
        <v>けんきゅうします</v>
      </c>
      <c r="D1040" t="str">
        <f t="shared" si="282"/>
        <v>（研究～）</v>
      </c>
      <c r="E1040" t="str">
        <f t="shared" si="283"/>
        <v xml:space="preserve"> 〔动3〕 研究</v>
      </c>
    </row>
    <row r="1041" spans="1:5" x14ac:dyDescent="0.15">
      <c r="A1041">
        <f>ROW()</f>
        <v>1041</v>
      </c>
      <c r="B1041" s="27" t="s">
        <v>1269</v>
      </c>
      <c r="C1041" t="str">
        <f t="shared" ref="C1041:C1044" si="294">LEFT(B1041,FIND("〔",B1041)-1)</f>
        <v xml:space="preserve">おかしい </v>
      </c>
      <c r="E1041" t="str">
        <f t="shared" ref="E1041:E1044" si="295">RIGHT(B1041,LEN(B1041)-FIND("〔",B1041)+1)</f>
        <v>〔形1〕 可笑，滑稽</v>
      </c>
    </row>
    <row r="1042" spans="1:5" x14ac:dyDescent="0.15">
      <c r="A1042">
        <f>ROW()</f>
        <v>1042</v>
      </c>
      <c r="B1042" s="27" t="s">
        <v>1270</v>
      </c>
      <c r="C1042" t="str">
        <f t="shared" si="294"/>
        <v xml:space="preserve">いっぱい </v>
      </c>
      <c r="E1042" t="str">
        <f t="shared" si="295"/>
        <v>〔副〕 满</v>
      </c>
    </row>
    <row r="1043" spans="1:5" x14ac:dyDescent="0.15">
      <c r="A1043">
        <f>ROW()</f>
        <v>1043</v>
      </c>
      <c r="B1043" s="27" t="s">
        <v>1271</v>
      </c>
      <c r="C1043" t="str">
        <f t="shared" si="294"/>
        <v xml:space="preserve">すこい </v>
      </c>
      <c r="E1043" t="str">
        <f t="shared" si="295"/>
        <v>〔副〕 惊人的，了不起</v>
      </c>
    </row>
    <row r="1044" spans="1:5" x14ac:dyDescent="0.15">
      <c r="A1044">
        <f>ROW()</f>
        <v>1044</v>
      </c>
      <c r="B1044" s="27" t="s">
        <v>1272</v>
      </c>
      <c r="C1044" t="str">
        <f t="shared" si="294"/>
        <v xml:space="preserve">とうとう </v>
      </c>
      <c r="E1044" t="str">
        <f t="shared" si="295"/>
        <v>〔副〕 终于，终究，到底</v>
      </c>
    </row>
    <row r="1045" spans="1:5" x14ac:dyDescent="0.15">
      <c r="A1045">
        <f>ROW()</f>
        <v>1045</v>
      </c>
      <c r="B1045" s="27" t="s">
        <v>1273</v>
      </c>
      <c r="C1045" t="str">
        <f t="shared" si="281"/>
        <v>かならず</v>
      </c>
      <c r="D1045" t="str">
        <f t="shared" si="282"/>
        <v>（必ず）</v>
      </c>
      <c r="E1045" t="str">
        <f t="shared" si="283"/>
        <v xml:space="preserve"> 〔副〕 一定，必定</v>
      </c>
    </row>
    <row r="1046" spans="1:5" x14ac:dyDescent="0.15">
      <c r="A1046">
        <f>ROW()</f>
        <v>1046</v>
      </c>
      <c r="B1046" s="27" t="s">
        <v>1274</v>
      </c>
      <c r="C1046" t="str">
        <f t="shared" si="281"/>
        <v>ぜったいに</v>
      </c>
      <c r="D1046" t="str">
        <f t="shared" si="282"/>
        <v>（絶対に）</v>
      </c>
      <c r="E1046" t="str">
        <f t="shared" si="283"/>
        <v xml:space="preserve"> 〔副〕 绝对</v>
      </c>
    </row>
    <row r="1047" spans="1:5" x14ac:dyDescent="0.15">
      <c r="A1047">
        <f>ROW()</f>
        <v>1047</v>
      </c>
      <c r="B1047" s="27" t="s">
        <v>1275</v>
      </c>
      <c r="C1047" t="str">
        <f t="shared" si="281"/>
        <v>ば</v>
      </c>
      <c r="D1047" t="str">
        <f t="shared" si="282"/>
        <v>（馬）</v>
      </c>
      <c r="E1047" t="str">
        <f t="shared" si="283"/>
        <v xml:space="preserve"> 〔专〕 马</v>
      </c>
    </row>
    <row r="1048" spans="1:5" x14ac:dyDescent="0.15">
      <c r="A1048">
        <f>ROW()</f>
        <v>1048</v>
      </c>
      <c r="B1048" s="27" t="s">
        <v>1290</v>
      </c>
      <c r="C1048" t="str">
        <f t="shared" si="281"/>
        <v>おせわになりました</v>
      </c>
      <c r="D1048" t="str">
        <f t="shared" si="282"/>
        <v>（お世話になりました）</v>
      </c>
      <c r="E1048" t="str">
        <f t="shared" si="283"/>
        <v xml:space="preserve"> 承蒙照顾</v>
      </c>
    </row>
    <row r="1049" spans="1:5" x14ac:dyDescent="0.15">
      <c r="A1049">
        <f>ROW()</f>
        <v>1049</v>
      </c>
      <c r="B1049" s="27" t="s">
        <v>1291</v>
      </c>
      <c r="C1049" t="str">
        <f t="shared" si="281"/>
        <v>よろしくおつたえください</v>
      </c>
      <c r="D1049" t="str">
        <f t="shared" si="282"/>
        <v>（～お伝えください）</v>
      </c>
      <c r="E1049" t="str">
        <f t="shared" si="283"/>
        <v>请代问好</v>
      </c>
    </row>
    <row r="1050" spans="1:5" x14ac:dyDescent="0.15">
      <c r="A1050">
        <f>ROW()</f>
        <v>1050</v>
      </c>
      <c r="B1050" s="27" t="s">
        <v>1276</v>
      </c>
      <c r="C1050" t="str">
        <f t="shared" si="281"/>
        <v>おげんきで</v>
      </c>
      <c r="D1050" t="str">
        <f t="shared" si="282"/>
        <v>（お元気で）</v>
      </c>
      <c r="E1050" t="str">
        <f t="shared" si="283"/>
        <v xml:space="preserve"> 请多保重</v>
      </c>
    </row>
    <row r="1051" spans="1:5" x14ac:dyDescent="0.15">
      <c r="A1051">
        <f>ROW()</f>
        <v>1051</v>
      </c>
      <c r="B1051" s="27" t="s">
        <v>1277</v>
      </c>
      <c r="C1051" t="str">
        <f t="shared" si="281"/>
        <v>おきをつけて</v>
      </c>
      <c r="D1051" t="str">
        <f t="shared" si="282"/>
        <v>（お気をつけて）</v>
      </c>
      <c r="E1051" t="str">
        <f t="shared" si="283"/>
        <v xml:space="preserve"> 小心点儿</v>
      </c>
    </row>
    <row r="1052" spans="1:5" x14ac:dyDescent="0.15">
      <c r="A1052">
        <f>ROW()</f>
        <v>1052</v>
      </c>
      <c r="B1052" s="27" t="s">
        <v>1278</v>
      </c>
      <c r="C1052" t="str">
        <f>LEFT(B1052,FIND(" ",B1052)-1)</f>
        <v>さようなら</v>
      </c>
      <c r="E1052" t="str">
        <f>RIGHT(B1052,LEN(B1052)-FIND(" ",B1052)+1)</f>
        <v xml:space="preserve"> 再见</v>
      </c>
    </row>
    <row r="1053" spans="1:5" x14ac:dyDescent="0.15">
      <c r="A1053">
        <f>ROW()</f>
        <v>1053</v>
      </c>
      <c r="B1053" s="27" t="s">
        <v>1279</v>
      </c>
      <c r="C1053" t="str">
        <f>LEFT(B1053,FIND(" ",B1053)-1)</f>
        <v>どうやって</v>
      </c>
      <c r="E1053" t="str">
        <f>RIGHT(B1053,LEN(B1053)-FIND(" ",B1053)+1)</f>
        <v xml:space="preserve"> 怎样，如何</v>
      </c>
    </row>
    <row r="1054" spans="1:5" x14ac:dyDescent="0.15">
      <c r="A1054">
        <f>ROW()</f>
        <v>1054</v>
      </c>
      <c r="B1054" s="27" t="s">
        <v>1280</v>
      </c>
      <c r="C1054" t="str">
        <f t="shared" ref="C1054" si="296">LEFT(B1054,FIND("（",B1054)-1)</f>
        <v>やくにたちます</v>
      </c>
      <c r="D1054" t="str">
        <f t="shared" ref="D1054" si="297">MID(B1054,FIND("（",B1054),FIND("）",B1054)-FIND("（",B1054)+1)</f>
        <v>（役に立ちます）</v>
      </c>
      <c r="E1054" t="str">
        <f t="shared" ref="E1054" si="298">RIGHT(B1054,LEN(B1054)-FIND("）",B1054))</f>
        <v xml:space="preserve"> 有用</v>
      </c>
    </row>
    <row r="1055" spans="1:5" x14ac:dyDescent="0.15">
      <c r="A1055">
        <f>ROW()</f>
        <v>1055</v>
      </c>
      <c r="B1055" s="27" t="s">
        <v>1281</v>
      </c>
      <c r="C1055" t="str">
        <f>LEFT(B1055,FIND(" ",B1055)-1)</f>
        <v>おなかがいっぱいです</v>
      </c>
      <c r="E1055" t="str">
        <f>RIGHT(B1055,LEN(B1055)-FIND(" ",B1055)+1)</f>
        <v xml:space="preserve"> 吃饱，饱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3.5" x14ac:dyDescent="0.15"/>
  <sheetData/>
  <phoneticPr fontId="12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12" type="noConversion"/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76" workbookViewId="0">
      <selection activeCell="A76" sqref="A76"/>
    </sheetView>
  </sheetViews>
  <sheetFormatPr defaultRowHeight="13.5" x14ac:dyDescent="0.15"/>
  <sheetData/>
  <phoneticPr fontId="1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>MITSUMICTE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2015-12-30T00:07:53Z</dcterms:created>
  <dcterms:modified xsi:type="dcterms:W3CDTF">2016-06-30T04:16:17Z</dcterms:modified>
</cp:coreProperties>
</file>