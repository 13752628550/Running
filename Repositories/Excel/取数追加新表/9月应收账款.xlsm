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activeX/activeX1.bin" ContentType="application/vnd.ms-office.activeX"/>
  <Override PartName="/xl/worksheets/sheet6.xml" ContentType="application/vnd.openxmlformats-officedocument.spreadsheetml.worksheet+xml"/>
  <Default Extension="emf" ContentType="image/x-emf"/>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activeX/activeX1.xml" ContentType="application/vnd.ms-office.activeX+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7A2D7E96-6E34-419A-AE5F-296B3A7E7977}"/>
  <workbookPr codeName="ThisWorkbook" defaultThemeVersion="124226"/>
  <bookViews>
    <workbookView xWindow="360" yWindow="330" windowWidth="19440" windowHeight="9480" activeTab="2"/>
  </bookViews>
  <sheets>
    <sheet name="锦聚成" sheetId="5" r:id="rId1"/>
    <sheet name="庞氏" sheetId="4" r:id="rId2"/>
    <sheet name="汇总表" sheetId="2" r:id="rId3"/>
    <sheet name="Sheet8" sheetId="13" r:id="rId4"/>
    <sheet name="Sheet9" sheetId="14" r:id="rId5"/>
    <sheet name="Sheet10" sheetId="15" r:id="rId6"/>
  </sheets>
  <definedNames>
    <definedName name="_xlnm._FilterDatabase" localSheetId="0" hidden="1">锦聚成!$A$4:$V$79</definedName>
    <definedName name="_xlnm._FilterDatabase" localSheetId="1" hidden="1">庞氏!$A$4:$V$53</definedName>
  </definedNames>
  <calcPr calcId="152511" concurrentCalc="0"/>
</workbook>
</file>

<file path=xl/calcChain.xml><?xml version="1.0" encoding="utf-8"?>
<calcChain xmlns="http://schemas.openxmlformats.org/spreadsheetml/2006/main">
  <c r="I33" i="4"/>
  <c r="N29"/>
  <c r="O70" i="5"/>
  <c r="N70"/>
  <c r="I70"/>
  <c r="O69"/>
  <c r="N69"/>
  <c r="I69"/>
  <c r="O68"/>
  <c r="N68"/>
  <c r="I68"/>
  <c r="N67"/>
  <c r="M67"/>
  <c r="L67"/>
  <c r="K67"/>
  <c r="J67"/>
  <c r="I67"/>
  <c r="H67"/>
  <c r="G67"/>
  <c r="F67"/>
  <c r="O64"/>
  <c r="O63"/>
  <c r="V63"/>
  <c r="O62"/>
  <c r="V62"/>
  <c r="O61"/>
  <c r="V61"/>
  <c r="V60"/>
  <c r="O59"/>
  <c r="V59"/>
  <c r="O58"/>
  <c r="V58"/>
  <c r="O57"/>
  <c r="M56"/>
  <c r="M72"/>
  <c r="K56"/>
  <c r="J56"/>
  <c r="H56"/>
  <c r="H72"/>
  <c r="G56"/>
  <c r="G72"/>
  <c r="V54"/>
  <c r="N54"/>
  <c r="I54"/>
  <c r="V53"/>
  <c r="L53"/>
  <c r="L56"/>
  <c r="L72"/>
  <c r="I53"/>
  <c r="N52"/>
  <c r="I52"/>
  <c r="O51"/>
  <c r="V51"/>
  <c r="N51"/>
  <c r="I51"/>
  <c r="O50"/>
  <c r="N50"/>
  <c r="I50"/>
  <c r="N49"/>
  <c r="I49"/>
  <c r="O48"/>
  <c r="V48"/>
  <c r="N48"/>
  <c r="I48"/>
  <c r="O47"/>
  <c r="N47"/>
  <c r="I47"/>
  <c r="O46"/>
  <c r="N46"/>
  <c r="I46"/>
  <c r="O45"/>
  <c r="N45"/>
  <c r="I45"/>
  <c r="O44"/>
  <c r="N44"/>
  <c r="I44"/>
  <c r="O43"/>
  <c r="N43"/>
  <c r="I43"/>
  <c r="O42"/>
  <c r="N42"/>
  <c r="I42"/>
  <c r="O41"/>
  <c r="N41"/>
  <c r="I41"/>
  <c r="O40"/>
  <c r="V40"/>
  <c r="N40"/>
  <c r="I40"/>
  <c r="F40"/>
  <c r="F56"/>
  <c r="O39"/>
  <c r="V39"/>
  <c r="N39"/>
  <c r="I39"/>
  <c r="O38"/>
  <c r="N38"/>
  <c r="I38"/>
  <c r="O37"/>
  <c r="N37"/>
  <c r="I37"/>
  <c r="O36"/>
  <c r="I36"/>
  <c r="O35"/>
  <c r="N35"/>
  <c r="I35"/>
  <c r="O34"/>
  <c r="V34"/>
  <c r="N34"/>
  <c r="I34"/>
  <c r="O33"/>
  <c r="N33"/>
  <c r="I33"/>
  <c r="O32"/>
  <c r="N32"/>
  <c r="I32"/>
  <c r="O31"/>
  <c r="N31"/>
  <c r="I31"/>
  <c r="O30"/>
  <c r="N30"/>
  <c r="I30"/>
  <c r="O29"/>
  <c r="N29"/>
  <c r="I29"/>
  <c r="O28"/>
  <c r="N28"/>
  <c r="I28"/>
  <c r="O27"/>
  <c r="V27"/>
  <c r="N27"/>
  <c r="I27"/>
  <c r="O26"/>
  <c r="N26"/>
  <c r="I26"/>
  <c r="O25"/>
  <c r="N25"/>
  <c r="I25"/>
  <c r="O24"/>
  <c r="V24"/>
  <c r="N24"/>
  <c r="I24"/>
  <c r="O23"/>
  <c r="I23"/>
  <c r="O22"/>
  <c r="V22"/>
  <c r="N22"/>
  <c r="I22"/>
  <c r="O21"/>
  <c r="I21"/>
  <c r="O20"/>
  <c r="N20"/>
  <c r="I20"/>
  <c r="O19"/>
  <c r="N19"/>
  <c r="I19"/>
  <c r="O18"/>
  <c r="N18"/>
  <c r="I18"/>
  <c r="O17"/>
  <c r="N17"/>
  <c r="I17"/>
  <c r="O16"/>
  <c r="V16"/>
  <c r="N16"/>
  <c r="I16"/>
  <c r="O15"/>
  <c r="N15"/>
  <c r="I15"/>
  <c r="O14"/>
  <c r="V14"/>
  <c r="I14"/>
  <c r="O13"/>
  <c r="V13"/>
  <c r="N13"/>
  <c r="I13"/>
  <c r="O12"/>
  <c r="N12"/>
  <c r="I12"/>
  <c r="O11"/>
  <c r="N11"/>
  <c r="I11"/>
  <c r="O10"/>
  <c r="V10"/>
  <c r="N10"/>
  <c r="I10"/>
  <c r="O9"/>
  <c r="V9"/>
  <c r="N9"/>
  <c r="I9"/>
  <c r="O8"/>
  <c r="N8"/>
  <c r="I8"/>
  <c r="O7"/>
  <c r="N7"/>
  <c r="I7"/>
  <c r="O6"/>
  <c r="V6"/>
  <c r="N6"/>
  <c r="I6"/>
  <c r="O5"/>
  <c r="N5"/>
  <c r="I5"/>
  <c r="F72"/>
  <c r="J72"/>
  <c r="I56"/>
  <c r="I72"/>
  <c r="O56"/>
  <c r="N53"/>
  <c r="N56"/>
  <c r="N72"/>
  <c r="K72"/>
  <c r="O67"/>
  <c r="M52" i="4"/>
  <c r="L52"/>
  <c r="K52"/>
  <c r="J52"/>
  <c r="H52"/>
  <c r="G52"/>
  <c r="F52"/>
  <c r="O49"/>
  <c r="O52"/>
  <c r="N49"/>
  <c r="N52"/>
  <c r="I49"/>
  <c r="I52"/>
  <c r="N48"/>
  <c r="M48"/>
  <c r="L48"/>
  <c r="K48"/>
  <c r="J48"/>
  <c r="I48"/>
  <c r="H48"/>
  <c r="G48"/>
  <c r="F48"/>
  <c r="O43"/>
  <c r="O42"/>
  <c r="M41"/>
  <c r="L41"/>
  <c r="K41"/>
  <c r="J41"/>
  <c r="H41"/>
  <c r="G41"/>
  <c r="F41"/>
  <c r="N40"/>
  <c r="I40"/>
  <c r="O39"/>
  <c r="V39"/>
  <c r="N39"/>
  <c r="I39"/>
  <c r="O38"/>
  <c r="V38"/>
  <c r="N38"/>
  <c r="I38"/>
  <c r="O37"/>
  <c r="V37"/>
  <c r="N37"/>
  <c r="I37"/>
  <c r="O36"/>
  <c r="V36"/>
  <c r="N36"/>
  <c r="I36"/>
  <c r="O35"/>
  <c r="V35"/>
  <c r="N35"/>
  <c r="I35"/>
  <c r="O34"/>
  <c r="V34"/>
  <c r="N34"/>
  <c r="I34"/>
  <c r="O33"/>
  <c r="V33"/>
  <c r="N33"/>
  <c r="O32"/>
  <c r="V32"/>
  <c r="I32"/>
  <c r="O31"/>
  <c r="V31"/>
  <c r="N31"/>
  <c r="I31"/>
  <c r="O30"/>
  <c r="V30"/>
  <c r="N30"/>
  <c r="I30"/>
  <c r="U29"/>
  <c r="I29"/>
  <c r="O29"/>
  <c r="O28"/>
  <c r="V28"/>
  <c r="N28"/>
  <c r="I28"/>
  <c r="O27"/>
  <c r="V27"/>
  <c r="N27"/>
  <c r="I27"/>
  <c r="O26"/>
  <c r="V26"/>
  <c r="N26"/>
  <c r="I26"/>
  <c r="O25"/>
  <c r="V25"/>
  <c r="N25"/>
  <c r="I25"/>
  <c r="O24"/>
  <c r="V24"/>
  <c r="N24"/>
  <c r="I24"/>
  <c r="O23"/>
  <c r="V23"/>
  <c r="N23"/>
  <c r="I23"/>
  <c r="O22"/>
  <c r="V22"/>
  <c r="N22"/>
  <c r="I22"/>
  <c r="O21"/>
  <c r="V21"/>
  <c r="N21"/>
  <c r="I21"/>
  <c r="O20"/>
  <c r="V20"/>
  <c r="N20"/>
  <c r="I20"/>
  <c r="O19"/>
  <c r="V19"/>
  <c r="N19"/>
  <c r="I19"/>
  <c r="O18"/>
  <c r="V18"/>
  <c r="N18"/>
  <c r="I18"/>
  <c r="O17"/>
  <c r="V17"/>
  <c r="N17"/>
  <c r="I17"/>
  <c r="O16"/>
  <c r="V16"/>
  <c r="N16"/>
  <c r="I16"/>
  <c r="O15"/>
  <c r="V15"/>
  <c r="N15"/>
  <c r="I15"/>
  <c r="O14"/>
  <c r="V14"/>
  <c r="N14"/>
  <c r="I14"/>
  <c r="O13"/>
  <c r="V13"/>
  <c r="N13"/>
  <c r="I13"/>
  <c r="O12"/>
  <c r="V12"/>
  <c r="N12"/>
  <c r="I12"/>
  <c r="O11"/>
  <c r="N11"/>
  <c r="I11"/>
  <c r="O10"/>
  <c r="V10"/>
  <c r="N10"/>
  <c r="I10"/>
  <c r="O9"/>
  <c r="V9"/>
  <c r="N9"/>
  <c r="I9"/>
  <c r="O8"/>
  <c r="V8"/>
  <c r="N8"/>
  <c r="I8"/>
  <c r="O7"/>
  <c r="V7"/>
  <c r="N7"/>
  <c r="I7"/>
  <c r="O6"/>
  <c r="V6"/>
  <c r="N6"/>
  <c r="I6"/>
  <c r="O5"/>
  <c r="N5"/>
  <c r="I5"/>
  <c r="N41"/>
  <c r="N53"/>
  <c r="V11"/>
  <c r="O72" i="5"/>
  <c r="O41" i="4"/>
  <c r="I41"/>
  <c r="I53"/>
  <c r="V29"/>
  <c r="O48"/>
  <c r="F53"/>
  <c r="H53"/>
  <c r="K53"/>
  <c r="M53"/>
  <c r="G53"/>
  <c r="J53"/>
  <c r="L53"/>
  <c r="V5"/>
  <c r="V49"/>
  <c r="O53"/>
</calcChain>
</file>

<file path=xl/comments1.xml><?xml version="1.0" encoding="utf-8"?>
<comments xmlns="http://schemas.openxmlformats.org/spreadsheetml/2006/main">
  <authors>
    <author>fujitsun</author>
    <author>微软用户</author>
  </authors>
  <commentList>
    <comment ref="P4" authorId="0">
      <text>
        <r>
          <rPr>
            <b/>
            <sz val="9"/>
            <color indexed="81"/>
            <rFont val="宋体"/>
            <family val="3"/>
            <charset val="134"/>
          </rPr>
          <t>fujitsun:</t>
        </r>
        <r>
          <rPr>
            <sz val="9"/>
            <color indexed="81"/>
            <rFont val="宋体"/>
            <family val="3"/>
            <charset val="134"/>
          </rPr>
          <t xml:space="preserve">
业务部门填制的明确收款计划</t>
        </r>
      </text>
    </comment>
    <comment ref="T4" authorId="0">
      <text>
        <r>
          <rPr>
            <b/>
            <sz val="9"/>
            <color indexed="81"/>
            <rFont val="宋体"/>
            <family val="3"/>
            <charset val="134"/>
          </rPr>
          <t>fujitsun:</t>
        </r>
        <r>
          <rPr>
            <sz val="9"/>
            <color indexed="81"/>
            <rFont val="宋体"/>
            <family val="3"/>
            <charset val="134"/>
          </rPr>
          <t xml:space="preserve">
实际收到货款时间</t>
        </r>
      </text>
    </comment>
    <comment ref="V4" authorId="0">
      <text>
        <r>
          <rPr>
            <b/>
            <sz val="9"/>
            <color indexed="81"/>
            <rFont val="宋体"/>
            <family val="3"/>
            <charset val="134"/>
          </rPr>
          <t>fujitsun:</t>
        </r>
        <r>
          <rPr>
            <sz val="9"/>
            <color indexed="81"/>
            <rFont val="宋体"/>
            <family val="3"/>
            <charset val="134"/>
          </rPr>
          <t xml:space="preserve">
欠款清收责任人</t>
        </r>
      </text>
    </comment>
    <comment ref="F15" authorId="1">
      <text>
        <r>
          <rPr>
            <b/>
            <sz val="9"/>
            <color indexed="81"/>
            <rFont val="宋体"/>
            <family val="3"/>
            <charset val="134"/>
          </rPr>
          <t>微软用户</t>
        </r>
        <r>
          <rPr>
            <b/>
            <sz val="9"/>
            <color indexed="81"/>
            <rFont val="Tahoma"/>
            <family val="2"/>
          </rPr>
          <t>:</t>
        </r>
        <r>
          <rPr>
            <sz val="9"/>
            <color indexed="81"/>
            <rFont val="Tahoma"/>
            <family val="2"/>
          </rPr>
          <t xml:space="preserve">
</t>
        </r>
        <r>
          <rPr>
            <sz val="9"/>
            <color indexed="81"/>
            <rFont val="宋体"/>
            <family val="3"/>
            <charset val="134"/>
          </rPr>
          <t>压首批</t>
        </r>
        <r>
          <rPr>
            <sz val="9"/>
            <color indexed="81"/>
            <rFont val="Tahoma"/>
            <family val="2"/>
          </rPr>
          <t>840 
4</t>
        </r>
        <r>
          <rPr>
            <sz val="9"/>
            <color indexed="81"/>
            <rFont val="宋体"/>
            <family val="3"/>
            <charset val="134"/>
          </rPr>
          <t>月退</t>
        </r>
        <r>
          <rPr>
            <sz val="9"/>
            <color indexed="81"/>
            <rFont val="Tahoma"/>
            <family val="2"/>
          </rPr>
          <t>1332.5</t>
        </r>
      </text>
    </comment>
    <comment ref="F17" authorId="1">
      <text>
        <r>
          <rPr>
            <b/>
            <sz val="9"/>
            <color indexed="81"/>
            <rFont val="宋体"/>
            <family val="3"/>
            <charset val="134"/>
          </rPr>
          <t>微软用户</t>
        </r>
        <r>
          <rPr>
            <b/>
            <sz val="9"/>
            <color indexed="81"/>
            <rFont val="Tahoma"/>
            <family val="2"/>
          </rPr>
          <t>:</t>
        </r>
        <r>
          <rPr>
            <sz val="9"/>
            <color indexed="81"/>
            <rFont val="Tahoma"/>
            <family val="2"/>
          </rPr>
          <t xml:space="preserve">
</t>
        </r>
        <r>
          <rPr>
            <sz val="9"/>
            <color indexed="81"/>
            <rFont val="宋体"/>
            <family val="3"/>
            <charset val="134"/>
          </rPr>
          <t>压首批</t>
        </r>
      </text>
    </comment>
    <comment ref="F18" authorId="1">
      <text>
        <r>
          <rPr>
            <b/>
            <sz val="9"/>
            <color indexed="81"/>
            <rFont val="宋体"/>
            <family val="3"/>
            <charset val="134"/>
          </rPr>
          <t>微软用户</t>
        </r>
        <r>
          <rPr>
            <b/>
            <sz val="9"/>
            <color indexed="81"/>
            <rFont val="Tahoma"/>
            <family val="2"/>
          </rPr>
          <t>:</t>
        </r>
        <r>
          <rPr>
            <sz val="9"/>
            <color indexed="81"/>
            <rFont val="Tahoma"/>
            <family val="2"/>
          </rPr>
          <t xml:space="preserve">
</t>
        </r>
        <r>
          <rPr>
            <sz val="9"/>
            <color indexed="81"/>
            <rFont val="宋体"/>
            <family val="3"/>
            <charset val="134"/>
          </rPr>
          <t>压首批</t>
        </r>
      </text>
    </comment>
    <comment ref="F19" authorId="1">
      <text>
        <r>
          <rPr>
            <b/>
            <sz val="9"/>
            <color indexed="81"/>
            <rFont val="宋体"/>
            <family val="3"/>
            <charset val="134"/>
          </rPr>
          <t>微软用户</t>
        </r>
        <r>
          <rPr>
            <b/>
            <sz val="9"/>
            <color indexed="81"/>
            <rFont val="Tahoma"/>
            <family val="2"/>
          </rPr>
          <t>:</t>
        </r>
        <r>
          <rPr>
            <sz val="9"/>
            <color indexed="81"/>
            <rFont val="Tahoma"/>
            <family val="2"/>
          </rPr>
          <t xml:space="preserve">
</t>
        </r>
        <r>
          <rPr>
            <sz val="9"/>
            <color indexed="81"/>
            <rFont val="宋体"/>
            <family val="3"/>
            <charset val="134"/>
          </rPr>
          <t>压首批</t>
        </r>
      </text>
    </comment>
    <comment ref="F20" authorId="1">
      <text>
        <r>
          <rPr>
            <b/>
            <sz val="9"/>
            <color indexed="81"/>
            <rFont val="宋体"/>
            <family val="3"/>
            <charset val="134"/>
          </rPr>
          <t>微软用户</t>
        </r>
        <r>
          <rPr>
            <b/>
            <sz val="9"/>
            <color indexed="81"/>
            <rFont val="Tahoma"/>
            <family val="2"/>
          </rPr>
          <t>:</t>
        </r>
        <r>
          <rPr>
            <sz val="9"/>
            <color indexed="81"/>
            <rFont val="Tahoma"/>
            <family val="2"/>
          </rPr>
          <t xml:space="preserve">
</t>
        </r>
        <r>
          <rPr>
            <sz val="9"/>
            <color indexed="81"/>
            <rFont val="宋体"/>
            <family val="3"/>
            <charset val="134"/>
          </rPr>
          <t>压首批</t>
        </r>
      </text>
    </comment>
    <comment ref="B24" authorId="1">
      <text>
        <r>
          <rPr>
            <b/>
            <sz val="9"/>
            <color indexed="81"/>
            <rFont val="宋体"/>
            <family val="3"/>
            <charset val="134"/>
          </rPr>
          <t>微软用户</t>
        </r>
        <r>
          <rPr>
            <b/>
            <sz val="9"/>
            <color indexed="81"/>
            <rFont val="Tahoma"/>
            <family val="2"/>
          </rPr>
          <t>:</t>
        </r>
        <r>
          <rPr>
            <sz val="9"/>
            <color indexed="81"/>
            <rFont val="Tahoma"/>
            <family val="2"/>
          </rPr>
          <t xml:space="preserve">
5</t>
        </r>
        <r>
          <rPr>
            <sz val="9"/>
            <color indexed="81"/>
            <rFont val="宋体"/>
            <family val="3"/>
            <charset val="134"/>
          </rPr>
          <t>个月未进货
最后一次进货日期为</t>
        </r>
        <r>
          <rPr>
            <sz val="9"/>
            <color indexed="81"/>
            <rFont val="Tahoma"/>
            <family val="2"/>
          </rPr>
          <t>10</t>
        </r>
        <r>
          <rPr>
            <sz val="9"/>
            <color indexed="81"/>
            <rFont val="宋体"/>
            <family val="3"/>
            <charset val="134"/>
          </rPr>
          <t>月</t>
        </r>
      </text>
    </comment>
    <comment ref="F24" authorId="1">
      <text>
        <r>
          <rPr>
            <b/>
            <sz val="9"/>
            <color indexed="81"/>
            <rFont val="宋体"/>
            <family val="3"/>
            <charset val="134"/>
          </rPr>
          <t>微软用户</t>
        </r>
        <r>
          <rPr>
            <b/>
            <sz val="9"/>
            <color indexed="81"/>
            <rFont val="Tahoma"/>
            <family val="2"/>
          </rPr>
          <t>:</t>
        </r>
        <r>
          <rPr>
            <sz val="9"/>
            <color indexed="81"/>
            <rFont val="Tahoma"/>
            <family val="2"/>
          </rPr>
          <t xml:space="preserve">
</t>
        </r>
        <r>
          <rPr>
            <sz val="9"/>
            <color indexed="81"/>
            <rFont val="宋体"/>
            <family val="3"/>
            <charset val="134"/>
          </rPr>
          <t>压首批</t>
        </r>
      </text>
    </comment>
    <comment ref="F35" authorId="1">
      <text>
        <r>
          <rPr>
            <b/>
            <sz val="9"/>
            <color indexed="81"/>
            <rFont val="宋体"/>
            <family val="3"/>
            <charset val="134"/>
          </rPr>
          <t>微软用户</t>
        </r>
        <r>
          <rPr>
            <b/>
            <sz val="9"/>
            <color indexed="81"/>
            <rFont val="Tahoma"/>
            <family val="2"/>
          </rPr>
          <t>:</t>
        </r>
        <r>
          <rPr>
            <sz val="9"/>
            <color indexed="81"/>
            <rFont val="Tahoma"/>
            <family val="2"/>
          </rPr>
          <t xml:space="preserve">
</t>
        </r>
        <r>
          <rPr>
            <sz val="9"/>
            <color indexed="81"/>
            <rFont val="宋体"/>
            <family val="3"/>
            <charset val="134"/>
          </rPr>
          <t>压首批</t>
        </r>
      </text>
    </comment>
    <comment ref="G61" authorId="1">
      <text>
        <r>
          <rPr>
            <b/>
            <sz val="9"/>
            <color indexed="81"/>
            <rFont val="宋体"/>
            <family val="3"/>
            <charset val="134"/>
          </rPr>
          <t>微软用户</t>
        </r>
        <r>
          <rPr>
            <b/>
            <sz val="9"/>
            <color indexed="81"/>
            <rFont val="Tahoma"/>
            <family val="2"/>
          </rPr>
          <t>:</t>
        </r>
        <r>
          <rPr>
            <sz val="9"/>
            <color indexed="81"/>
            <rFont val="Tahoma"/>
            <family val="2"/>
          </rPr>
          <t xml:space="preserve">
</t>
        </r>
        <r>
          <rPr>
            <sz val="9"/>
            <color indexed="81"/>
            <rFont val="宋体"/>
            <family val="3"/>
            <charset val="134"/>
          </rPr>
          <t>其中</t>
        </r>
        <r>
          <rPr>
            <sz val="9"/>
            <color indexed="81"/>
            <rFont val="Tahoma"/>
            <family val="2"/>
          </rPr>
          <t>1387104</t>
        </r>
        <r>
          <rPr>
            <sz val="9"/>
            <color indexed="81"/>
            <rFont val="宋体"/>
            <family val="3"/>
            <charset val="134"/>
          </rPr>
          <t>为八喜倒账
锦挂好收成未挂</t>
        </r>
      </text>
    </comment>
    <comment ref="G62" authorId="1">
      <text>
        <r>
          <rPr>
            <b/>
            <sz val="9"/>
            <color indexed="81"/>
            <rFont val="宋体"/>
            <family val="3"/>
            <charset val="134"/>
          </rPr>
          <t>微软用户</t>
        </r>
        <r>
          <rPr>
            <b/>
            <sz val="9"/>
            <color indexed="81"/>
            <rFont val="Tahoma"/>
            <family val="2"/>
          </rPr>
          <t>:</t>
        </r>
        <r>
          <rPr>
            <sz val="9"/>
            <color indexed="81"/>
            <rFont val="Tahoma"/>
            <family val="2"/>
          </rPr>
          <t xml:space="preserve">
</t>
        </r>
      </text>
    </comment>
    <comment ref="L64" authorId="1">
      <text>
        <r>
          <rPr>
            <b/>
            <sz val="9"/>
            <color indexed="81"/>
            <rFont val="宋体"/>
            <family val="3"/>
            <charset val="134"/>
          </rPr>
          <t>微软用户</t>
        </r>
        <r>
          <rPr>
            <b/>
            <sz val="9"/>
            <color indexed="81"/>
            <rFont val="Tahoma"/>
            <family val="2"/>
          </rPr>
          <t>:</t>
        </r>
        <r>
          <rPr>
            <sz val="9"/>
            <color indexed="81"/>
            <rFont val="Tahoma"/>
            <family val="2"/>
          </rPr>
          <t xml:space="preserve">
</t>
        </r>
        <r>
          <rPr>
            <sz val="9"/>
            <color indexed="81"/>
            <rFont val="宋体"/>
            <family val="3"/>
            <charset val="134"/>
          </rPr>
          <t xml:space="preserve">有问题单据，解决中
</t>
        </r>
      </text>
    </comment>
    <comment ref="G73" authorId="1">
      <text>
        <r>
          <rPr>
            <b/>
            <sz val="9"/>
            <color indexed="81"/>
            <rFont val="宋体"/>
            <family val="3"/>
            <charset val="134"/>
          </rPr>
          <t>微软用户</t>
        </r>
        <r>
          <rPr>
            <b/>
            <sz val="9"/>
            <color indexed="81"/>
            <rFont val="Tahoma"/>
            <family val="2"/>
          </rPr>
          <t>:</t>
        </r>
        <r>
          <rPr>
            <sz val="9"/>
            <color indexed="81"/>
            <rFont val="Tahoma"/>
            <family val="2"/>
          </rPr>
          <t xml:space="preserve">
</t>
        </r>
      </text>
    </comment>
  </commentList>
</comments>
</file>

<file path=xl/comments2.xml><?xml version="1.0" encoding="utf-8"?>
<comments xmlns="http://schemas.openxmlformats.org/spreadsheetml/2006/main">
  <authors>
    <author>fujitsun</author>
  </authors>
  <commentList>
    <comment ref="P4" authorId="0">
      <text>
        <r>
          <rPr>
            <b/>
            <sz val="9"/>
            <color indexed="81"/>
            <rFont val="宋体"/>
            <family val="3"/>
            <charset val="134"/>
          </rPr>
          <t>fujitsun:</t>
        </r>
        <r>
          <rPr>
            <sz val="9"/>
            <color indexed="81"/>
            <rFont val="宋体"/>
            <family val="3"/>
            <charset val="134"/>
          </rPr>
          <t xml:space="preserve">
业务部门填制的明确收款计划</t>
        </r>
      </text>
    </comment>
    <comment ref="T4" authorId="0">
      <text>
        <r>
          <rPr>
            <b/>
            <sz val="9"/>
            <color indexed="81"/>
            <rFont val="宋体"/>
            <family val="3"/>
            <charset val="134"/>
          </rPr>
          <t>fujitsun:</t>
        </r>
        <r>
          <rPr>
            <sz val="9"/>
            <color indexed="81"/>
            <rFont val="宋体"/>
            <family val="3"/>
            <charset val="134"/>
          </rPr>
          <t xml:space="preserve">
实际收到货款时间</t>
        </r>
      </text>
    </comment>
  </commentList>
</comments>
</file>

<file path=xl/sharedStrings.xml><?xml version="1.0" encoding="utf-8"?>
<sst xmlns="http://schemas.openxmlformats.org/spreadsheetml/2006/main" count="506" uniqueCount="258">
  <si>
    <t>应收账款账龄明细表</t>
    <phoneticPr fontId="4" type="noConversion"/>
  </si>
  <si>
    <t>单位名称：天津庞氏商贸集团有限公司</t>
    <phoneticPr fontId="3" type="noConversion"/>
  </si>
  <si>
    <t>填报月份：2016年09月</t>
    <phoneticPr fontId="3" type="noConversion"/>
  </si>
  <si>
    <t>序号</t>
  </si>
  <si>
    <t>客户</t>
    <phoneticPr fontId="3" type="noConversion"/>
  </si>
  <si>
    <t>财务负责人</t>
    <phoneticPr fontId="3" type="noConversion"/>
  </si>
  <si>
    <t>类别</t>
  </si>
  <si>
    <t>账期</t>
    <phoneticPr fontId="3" type="noConversion"/>
  </si>
  <si>
    <t>未到期
（截止07月）</t>
    <phoneticPr fontId="3" type="noConversion"/>
  </si>
  <si>
    <t>到期已对账已开票</t>
    <phoneticPr fontId="3" type="noConversion"/>
  </si>
  <si>
    <t>月度按照1%进行考核</t>
    <phoneticPr fontId="3" type="noConversion"/>
  </si>
  <si>
    <t>到期已对账未开票</t>
    <phoneticPr fontId="3" type="noConversion"/>
  </si>
  <si>
    <t>到期未对账未开票</t>
    <phoneticPr fontId="3" type="noConversion"/>
  </si>
  <si>
    <t>月度按照1.5%进行考核</t>
    <phoneticPr fontId="3" type="noConversion"/>
  </si>
  <si>
    <t>到期合计</t>
    <phoneticPr fontId="3" type="noConversion"/>
  </si>
  <si>
    <t>收款计划(业务部填报)</t>
    <phoneticPr fontId="4" type="noConversion"/>
  </si>
  <si>
    <t>收款完成(财务部填报)每月15日</t>
    <phoneticPr fontId="4" type="noConversion"/>
  </si>
  <si>
    <t>1-3个月内</t>
    <phoneticPr fontId="3" type="noConversion"/>
  </si>
  <si>
    <t>超过3个月</t>
    <phoneticPr fontId="3" type="noConversion"/>
  </si>
  <si>
    <t>预计收款时间</t>
    <phoneticPr fontId="4" type="noConversion"/>
  </si>
  <si>
    <t>预计收款金额</t>
    <phoneticPr fontId="4" type="noConversion"/>
  </si>
  <si>
    <t>直接责任人</t>
    <phoneticPr fontId="4" type="noConversion"/>
  </si>
  <si>
    <t>间接责任人</t>
    <phoneticPr fontId="4" type="noConversion"/>
  </si>
  <si>
    <t>实际收款时间</t>
    <phoneticPr fontId="4" type="noConversion"/>
  </si>
  <si>
    <t>实际收款金额</t>
    <phoneticPr fontId="4" type="noConversion"/>
  </si>
  <si>
    <t>回款比例</t>
    <phoneticPr fontId="4" type="noConversion"/>
  </si>
  <si>
    <t>乐意来生活超市</t>
    <phoneticPr fontId="3" type="noConversion"/>
  </si>
  <si>
    <t>宋银雪</t>
    <phoneticPr fontId="3" type="noConversion"/>
  </si>
  <si>
    <t>7天</t>
  </si>
  <si>
    <t>田雪</t>
    <phoneticPr fontId="3" type="noConversion"/>
  </si>
  <si>
    <t>果果便利店</t>
    <phoneticPr fontId="3" type="noConversion"/>
  </si>
  <si>
    <t>大圆满</t>
    <phoneticPr fontId="3" type="noConversion"/>
  </si>
  <si>
    <t>汉沽大楼</t>
    <phoneticPr fontId="3" type="noConversion"/>
  </si>
  <si>
    <t>30天</t>
  </si>
  <si>
    <t>刘阳</t>
    <phoneticPr fontId="3" type="noConversion"/>
  </si>
  <si>
    <t>汉沽百大</t>
    <phoneticPr fontId="3" type="noConversion"/>
  </si>
  <si>
    <t>上海华联超市</t>
    <phoneticPr fontId="3" type="noConversion"/>
  </si>
  <si>
    <t>天津食品集团商贸有限公司</t>
    <phoneticPr fontId="3" type="noConversion"/>
  </si>
  <si>
    <t>刘红玲</t>
    <phoneticPr fontId="3" type="noConversion"/>
  </si>
  <si>
    <t>天津滨海新区大港滨城物流配送有限责任公司</t>
    <phoneticPr fontId="3" type="noConversion"/>
  </si>
  <si>
    <t>王莎莎</t>
    <phoneticPr fontId="3" type="noConversion"/>
  </si>
  <si>
    <t>2017年3月24日转账支票65351.71元</t>
    <phoneticPr fontId="3" type="noConversion"/>
  </si>
  <si>
    <t>天津炼达集团有限公司</t>
    <phoneticPr fontId="3" type="noConversion"/>
  </si>
  <si>
    <t>大鹏集团</t>
    <phoneticPr fontId="3" type="noConversion"/>
  </si>
  <si>
    <t>李佩兰</t>
    <phoneticPr fontId="3" type="noConversion"/>
  </si>
  <si>
    <t>北辰五岩</t>
    <phoneticPr fontId="3" type="noConversion"/>
  </si>
  <si>
    <t>于亮</t>
    <phoneticPr fontId="3" type="noConversion"/>
  </si>
  <si>
    <t>迎宾大港</t>
    <phoneticPr fontId="3" type="noConversion"/>
  </si>
  <si>
    <t>顺众</t>
    <phoneticPr fontId="3" type="noConversion"/>
  </si>
  <si>
    <t>优选生活超市</t>
    <phoneticPr fontId="3" type="noConversion"/>
  </si>
  <si>
    <t>优农绿菜蓝</t>
    <phoneticPr fontId="3" type="noConversion"/>
  </si>
  <si>
    <t>姜晓影</t>
    <phoneticPr fontId="3" type="noConversion"/>
  </si>
  <si>
    <t>麦隆壹佰</t>
    <phoneticPr fontId="3" type="noConversion"/>
  </si>
  <si>
    <t>世纪太平大药房</t>
    <phoneticPr fontId="3" type="noConversion"/>
  </si>
  <si>
    <t>宝旭阳食品</t>
    <phoneticPr fontId="3" type="noConversion"/>
  </si>
  <si>
    <t>绿蓝商贸有限公司</t>
    <phoneticPr fontId="3" type="noConversion"/>
  </si>
  <si>
    <t>李晔</t>
    <phoneticPr fontId="3" type="noConversion"/>
  </si>
  <si>
    <t>聚华盈生活广场</t>
    <phoneticPr fontId="3" type="noConversion"/>
  </si>
  <si>
    <t>物尔购</t>
    <phoneticPr fontId="3" type="noConversion"/>
  </si>
  <si>
    <t>45天</t>
  </si>
  <si>
    <t>家乐福连锁超市高经理</t>
    <phoneticPr fontId="3" type="noConversion"/>
  </si>
  <si>
    <t>60天</t>
  </si>
  <si>
    <t>佳顺集团</t>
    <phoneticPr fontId="3" type="noConversion"/>
  </si>
  <si>
    <t>大桥道集团</t>
    <phoneticPr fontId="3" type="noConversion"/>
  </si>
  <si>
    <t>西青百顺</t>
    <phoneticPr fontId="3" type="noConversion"/>
  </si>
  <si>
    <t>天津桂发祥十八街麻花食品股份公司</t>
    <phoneticPr fontId="3" type="noConversion"/>
  </si>
  <si>
    <t>天津月坛现代商业集团有限公司</t>
    <phoneticPr fontId="3" type="noConversion"/>
  </si>
  <si>
    <t>米兰商贸有限公司</t>
    <phoneticPr fontId="3" type="noConversion"/>
  </si>
  <si>
    <t>30天</t>
    <phoneticPr fontId="3" type="noConversion"/>
  </si>
  <si>
    <t>快乐人家</t>
    <phoneticPr fontId="3" type="noConversion"/>
  </si>
  <si>
    <t>美雅诗家纺</t>
    <phoneticPr fontId="3" type="noConversion"/>
  </si>
  <si>
    <t>预收</t>
    <phoneticPr fontId="3" type="noConversion"/>
  </si>
  <si>
    <t>翟颖</t>
    <phoneticPr fontId="3" type="noConversion"/>
  </si>
  <si>
    <t>大港发电厂</t>
    <phoneticPr fontId="3" type="noConversion"/>
  </si>
  <si>
    <t>农垦农产品</t>
    <phoneticPr fontId="3" type="noConversion"/>
  </si>
  <si>
    <t>7天</t>
    <phoneticPr fontId="3" type="noConversion"/>
  </si>
  <si>
    <t>殷经理</t>
    <phoneticPr fontId="3" type="noConversion"/>
  </si>
  <si>
    <t>金百邦</t>
    <phoneticPr fontId="3" type="noConversion"/>
  </si>
  <si>
    <t>淮安大润发</t>
    <phoneticPr fontId="3" type="noConversion"/>
  </si>
  <si>
    <t>孙浩</t>
    <phoneticPr fontId="3" type="noConversion"/>
  </si>
  <si>
    <t>杨连国</t>
    <phoneticPr fontId="3" type="noConversion"/>
  </si>
  <si>
    <t>陈志忠</t>
    <phoneticPr fontId="3" type="noConversion"/>
  </si>
  <si>
    <t>在此行之上增加行</t>
    <phoneticPr fontId="3" type="noConversion"/>
  </si>
  <si>
    <t>外部应收合计</t>
    <phoneticPr fontId="3" type="noConversion"/>
  </si>
  <si>
    <t>庞氏转户</t>
    <phoneticPr fontId="3" type="noConversion"/>
  </si>
  <si>
    <t>前期虚款</t>
    <phoneticPr fontId="3" type="noConversion"/>
  </si>
  <si>
    <t>好收成商贸（帐期）</t>
    <phoneticPr fontId="3" type="noConversion"/>
  </si>
  <si>
    <t>龚  轶</t>
    <phoneticPr fontId="3" type="noConversion"/>
  </si>
  <si>
    <t>并未到期</t>
    <phoneticPr fontId="3" type="noConversion"/>
  </si>
  <si>
    <t>上海北大荒</t>
    <phoneticPr fontId="3" type="noConversion"/>
  </si>
  <si>
    <t>廊坊棕顺易彩</t>
    <phoneticPr fontId="3" type="noConversion"/>
  </si>
  <si>
    <t>望捷</t>
    <phoneticPr fontId="3" type="noConversion"/>
  </si>
  <si>
    <t>内部应收合计</t>
    <phoneticPr fontId="3" type="noConversion"/>
  </si>
  <si>
    <t>天津华润集团</t>
    <phoneticPr fontId="3" type="noConversion"/>
  </si>
  <si>
    <t>原庞氏期初</t>
    <phoneticPr fontId="3" type="noConversion"/>
  </si>
  <si>
    <t>费用</t>
    <phoneticPr fontId="3" type="noConversion"/>
  </si>
  <si>
    <t>待公司处理应收合计</t>
    <phoneticPr fontId="3" type="noConversion"/>
  </si>
  <si>
    <t>（包括本集团）总计</t>
    <phoneticPr fontId="3" type="noConversion"/>
  </si>
  <si>
    <t xml:space="preserve">说明：1、每月5日前财务部门负责应收账款和回款情况统计表，交给销管部落实直接
        责任人和间接责任人签字确认。销管部门负责人签字后，交给财务部审核和备案。财务审核完毕的应收账款考核结果交给人力资源部门核定工资和绩效奖金。
</t>
    <phoneticPr fontId="4" type="noConversion"/>
  </si>
  <si>
    <t xml:space="preserve">     2、每月10日业务部根据当月应收情况，计算考核扣款金额，并报销售管理部、人力部审核后做入当月工资扣款中。</t>
    <phoneticPr fontId="4" type="noConversion"/>
  </si>
  <si>
    <t xml:space="preserve">     3、每月15日财务部统计当月回款情况填于此表，报销售管理部和总经理反馈回款进度。</t>
    <phoneticPr fontId="4" type="noConversion"/>
  </si>
  <si>
    <t>备注：1、应收帐款以实际发货日为对账基准日形成的应收款</t>
    <phoneticPr fontId="3" type="noConversion"/>
  </si>
  <si>
    <t xml:space="preserve">     2、除批注说明外，其他数据都是已上账数据</t>
    <phoneticPr fontId="3" type="noConversion"/>
  </si>
  <si>
    <t>单位名称：天津市锦聚成商贸股份有限公司</t>
    <phoneticPr fontId="3" type="noConversion"/>
  </si>
  <si>
    <t>填报月份：2016年9月</t>
    <phoneticPr fontId="3" type="noConversion"/>
  </si>
  <si>
    <t>客户</t>
    <phoneticPr fontId="3" type="noConversion"/>
  </si>
  <si>
    <t>财务负责人</t>
    <phoneticPr fontId="3" type="noConversion"/>
  </si>
  <si>
    <t>账期</t>
    <phoneticPr fontId="3" type="noConversion"/>
  </si>
  <si>
    <t>未到期
（截止3月）</t>
    <phoneticPr fontId="3" type="noConversion"/>
  </si>
  <si>
    <t>到期已对账已开票</t>
    <phoneticPr fontId="3" type="noConversion"/>
  </si>
  <si>
    <t>月度按照1%进行考核</t>
    <phoneticPr fontId="3" type="noConversion"/>
  </si>
  <si>
    <t>到期已对账未开票</t>
    <phoneticPr fontId="3" type="noConversion"/>
  </si>
  <si>
    <t>到期未对账未开票</t>
    <phoneticPr fontId="3" type="noConversion"/>
  </si>
  <si>
    <t>月度按照1.5%进行考核</t>
    <phoneticPr fontId="3" type="noConversion"/>
  </si>
  <si>
    <t>到期合计</t>
    <phoneticPr fontId="3" type="noConversion"/>
  </si>
  <si>
    <t>收款计划(业务部填报)</t>
    <phoneticPr fontId="4" type="noConversion"/>
  </si>
  <si>
    <t>收款完成(财务部填报)每月15日</t>
    <phoneticPr fontId="4" type="noConversion"/>
  </si>
  <si>
    <t>1-3个月内</t>
    <phoneticPr fontId="3" type="noConversion"/>
  </si>
  <si>
    <t>超过3个月</t>
    <phoneticPr fontId="3" type="noConversion"/>
  </si>
  <si>
    <t>预计收款时间</t>
    <phoneticPr fontId="4" type="noConversion"/>
  </si>
  <si>
    <t>预计收款金额</t>
    <phoneticPr fontId="4" type="noConversion"/>
  </si>
  <si>
    <t>直接责任人</t>
    <phoneticPr fontId="4" type="noConversion"/>
  </si>
  <si>
    <t>间接责任人</t>
    <phoneticPr fontId="4" type="noConversion"/>
  </si>
  <si>
    <t>实际收款时间</t>
    <phoneticPr fontId="4" type="noConversion"/>
  </si>
  <si>
    <t>实际收款金额</t>
    <phoneticPr fontId="4" type="noConversion"/>
  </si>
  <si>
    <t>回款比例</t>
    <phoneticPr fontId="4" type="noConversion"/>
  </si>
  <si>
    <t>伊势丹---滨海新区店(新）</t>
  </si>
  <si>
    <t>骆语</t>
    <phoneticPr fontId="3" type="noConversion"/>
  </si>
  <si>
    <t>60天</t>
    <phoneticPr fontId="4" type="noConversion"/>
  </si>
  <si>
    <t>已转望捷</t>
    <phoneticPr fontId="3" type="noConversion"/>
  </si>
  <si>
    <t>于海</t>
    <phoneticPr fontId="3" type="noConversion"/>
  </si>
  <si>
    <t>天津月坛现代商业集团有限公司</t>
  </si>
  <si>
    <t>1月15日拿支票</t>
    <phoneticPr fontId="3" type="noConversion"/>
  </si>
  <si>
    <t>天津甘蒂国际贸易有限公司</t>
  </si>
  <si>
    <t>30天</t>
    <phoneticPr fontId="3" type="noConversion"/>
  </si>
  <si>
    <t>百乐顺厂商给次货款需在3月1日解决</t>
    <phoneticPr fontId="3" type="noConversion"/>
  </si>
  <si>
    <t>思文食尚安佳利超市</t>
  </si>
  <si>
    <t>7天</t>
    <phoneticPr fontId="4" type="noConversion"/>
  </si>
  <si>
    <t>本周四去库房解决退货</t>
    <phoneticPr fontId="3" type="noConversion"/>
  </si>
  <si>
    <t>乐买超市美克公寓综合店</t>
  </si>
  <si>
    <t>此款为庞氏结款</t>
    <phoneticPr fontId="3" type="noConversion"/>
  </si>
  <si>
    <t>麻辣诱惑(中道餐饮)</t>
  </si>
  <si>
    <t>30天</t>
    <phoneticPr fontId="4" type="noConversion"/>
  </si>
  <si>
    <t>潘新宇</t>
    <phoneticPr fontId="3" type="noConversion"/>
  </si>
  <si>
    <t>八喜代管结款</t>
    <phoneticPr fontId="3" type="noConversion"/>
  </si>
  <si>
    <t>津工集团</t>
  </si>
  <si>
    <t>90天</t>
    <phoneticPr fontId="4" type="noConversion"/>
  </si>
  <si>
    <t>30号</t>
    <phoneticPr fontId="3" type="noConversion"/>
  </si>
  <si>
    <t>津工配送库</t>
  </si>
  <si>
    <t>翟颖</t>
    <phoneticPr fontId="3" type="noConversion"/>
  </si>
  <si>
    <t>西青百顺大卖场</t>
    <phoneticPr fontId="3" type="noConversion"/>
  </si>
  <si>
    <t>60天</t>
    <phoneticPr fontId="3" type="noConversion"/>
  </si>
  <si>
    <t>正常结款</t>
    <phoneticPr fontId="3" type="noConversion"/>
  </si>
  <si>
    <t>刘红玲</t>
    <phoneticPr fontId="3" type="noConversion"/>
  </si>
  <si>
    <t>物尔购超市双港店</t>
  </si>
  <si>
    <t>押首批</t>
    <phoneticPr fontId="3" type="noConversion"/>
  </si>
  <si>
    <t>天津迎宾超市商贸有限公司（大港）</t>
  </si>
  <si>
    <t>北大荒代销，转户延期结账</t>
  </si>
  <si>
    <t>王沙沙</t>
    <phoneticPr fontId="3" type="noConversion"/>
  </si>
  <si>
    <t>天津物尔购超市发展有限公司大寺店</t>
  </si>
  <si>
    <t>3900元进口品费用正在走流程</t>
  </si>
  <si>
    <t>天津市津南区森亮食品超市（森乐玛）压首批款3000元</t>
  </si>
  <si>
    <t>货到付款</t>
    <phoneticPr fontId="4" type="noConversion"/>
  </si>
  <si>
    <t>天津世纪太平大药房有限公司（首批压款2000元以内）</t>
  </si>
  <si>
    <t>15天</t>
    <phoneticPr fontId="4" type="noConversion"/>
  </si>
  <si>
    <t>天津美家购食品超市(送货带pos)</t>
  </si>
  <si>
    <t>热卖超市</t>
  </si>
  <si>
    <t>押了一张单据，16年费用太大，月底前办理完清户手续</t>
    <phoneticPr fontId="3" type="noConversion"/>
  </si>
  <si>
    <t>百顺大卖场星河湾店</t>
  </si>
  <si>
    <t>按时结账</t>
    <phoneticPr fontId="3" type="noConversion"/>
  </si>
  <si>
    <t>百顺(高庄子店)</t>
  </si>
  <si>
    <t>月底前处理完毕</t>
    <phoneticPr fontId="3" type="noConversion"/>
  </si>
  <si>
    <t>江山大药房</t>
    <phoneticPr fontId="3" type="noConversion"/>
  </si>
  <si>
    <t>郝芳</t>
    <phoneticPr fontId="3" type="noConversion"/>
  </si>
  <si>
    <t>徐龙庆</t>
    <phoneticPr fontId="3" type="noConversion"/>
  </si>
  <si>
    <t>蔬果天津食品集团商贸有限公司（气象台店）</t>
    <phoneticPr fontId="3" type="noConversion"/>
  </si>
  <si>
    <t>7天</t>
    <phoneticPr fontId="3" type="noConversion"/>
  </si>
  <si>
    <t>姜晓影</t>
    <phoneticPr fontId="3" type="noConversion"/>
  </si>
  <si>
    <t>蔬果天津食品集团商贸有限公司（士英路店）</t>
    <phoneticPr fontId="3" type="noConversion"/>
  </si>
  <si>
    <t>青岛会生活（海信广场 帐期）</t>
  </si>
  <si>
    <t>90天</t>
    <phoneticPr fontId="3" type="noConversion"/>
  </si>
  <si>
    <t>李佩兰</t>
    <phoneticPr fontId="3" type="noConversion"/>
  </si>
  <si>
    <t>佳顺集团</t>
    <phoneticPr fontId="3" type="noConversion"/>
  </si>
  <si>
    <t>家乐福连锁超市（何经理）</t>
  </si>
  <si>
    <t>南大便民超市</t>
  </si>
  <si>
    <t>没有单据</t>
    <phoneticPr fontId="3" type="noConversion"/>
  </si>
  <si>
    <t>李化</t>
    <phoneticPr fontId="3" type="noConversion"/>
  </si>
  <si>
    <t>福大家乐</t>
    <phoneticPr fontId="3" type="noConversion"/>
  </si>
  <si>
    <t>现结</t>
    <phoneticPr fontId="3" type="noConversion"/>
  </si>
  <si>
    <t>永辉大卖场</t>
  </si>
  <si>
    <t>回款正常</t>
    <phoneticPr fontId="3" type="noConversion"/>
  </si>
  <si>
    <t>翟颖 李晔</t>
    <phoneticPr fontId="3" type="noConversion"/>
  </si>
  <si>
    <t>天津铁三院实业有限公司</t>
  </si>
  <si>
    <t>月底回款</t>
    <phoneticPr fontId="3" type="noConversion"/>
  </si>
  <si>
    <t>孙浩</t>
    <phoneticPr fontId="3" type="noConversion"/>
  </si>
  <si>
    <t>天津市月坛学生营养餐配送有限公司</t>
  </si>
  <si>
    <t>支票已开，但需购置8000元礼盒</t>
    <phoneticPr fontId="3" type="noConversion"/>
  </si>
  <si>
    <t>李刚</t>
    <phoneticPr fontId="3" type="noConversion"/>
  </si>
  <si>
    <t>天津市顺康药业连锁有限公司（首批押款3000）</t>
  </si>
  <si>
    <t>押首批</t>
  </si>
  <si>
    <t>天津桂发祥十八街麻花食品股份有限公司</t>
  </si>
  <si>
    <t>退货超过结账</t>
    <phoneticPr fontId="3" type="noConversion"/>
  </si>
  <si>
    <t>李晔</t>
    <phoneticPr fontId="3" type="noConversion"/>
  </si>
  <si>
    <t>华勤超市（华苑店）</t>
  </si>
  <si>
    <t>45天</t>
    <phoneticPr fontId="3" type="noConversion"/>
  </si>
  <si>
    <t>煦园超市（城建学院）</t>
  </si>
  <si>
    <t>李月</t>
    <phoneticPr fontId="3" type="noConversion"/>
  </si>
  <si>
    <t>楚云天</t>
  </si>
  <si>
    <t>高祝凤</t>
    <phoneticPr fontId="3" type="noConversion"/>
  </si>
  <si>
    <t>华城汇英餐饮有限公司（周结）（冰柜乘1 完2）</t>
  </si>
  <si>
    <t>好收成工会</t>
    <phoneticPr fontId="3" type="noConversion"/>
  </si>
  <si>
    <t>梅江会展找物街费用</t>
    <phoneticPr fontId="3" type="noConversion"/>
  </si>
  <si>
    <t>陈忠志</t>
    <phoneticPr fontId="3" type="noConversion"/>
  </si>
  <si>
    <t>城建大学超市</t>
    <phoneticPr fontId="3" type="noConversion"/>
  </si>
  <si>
    <t>75天</t>
    <phoneticPr fontId="3" type="noConversion"/>
  </si>
  <si>
    <t>科技大学超市</t>
    <phoneticPr fontId="3" type="noConversion"/>
  </si>
  <si>
    <t>庞氏仁爱超市</t>
    <phoneticPr fontId="3" type="noConversion"/>
  </si>
  <si>
    <t>仁爱学院超市</t>
    <phoneticPr fontId="3" type="noConversion"/>
  </si>
  <si>
    <t>黄山路食品（进口品）</t>
  </si>
  <si>
    <t>消化库存产品过期需退货减帐结款</t>
  </si>
  <si>
    <t>天大赛奇学六</t>
    <phoneticPr fontId="3" type="noConversion"/>
  </si>
  <si>
    <t>前期欠款</t>
    <phoneticPr fontId="3" type="noConversion"/>
  </si>
  <si>
    <t>个人（现结）</t>
    <phoneticPr fontId="3" type="noConversion"/>
  </si>
  <si>
    <t>过期产品处理个人</t>
  </si>
  <si>
    <t>属于韩小林的产品处理，当时已经通知停薪扣款</t>
    <phoneticPr fontId="3" type="noConversion"/>
  </si>
  <si>
    <t>运河渔村</t>
    <phoneticPr fontId="3" type="noConversion"/>
  </si>
  <si>
    <t>郭法城</t>
    <phoneticPr fontId="3" type="noConversion"/>
  </si>
  <si>
    <t>易迪立威</t>
    <phoneticPr fontId="3" type="noConversion"/>
  </si>
  <si>
    <t>蔬果现结</t>
    <phoneticPr fontId="3" type="noConversion"/>
  </si>
  <si>
    <t>博涵餐饮管理有限公司</t>
    <phoneticPr fontId="3" type="noConversion"/>
  </si>
  <si>
    <t>在此行之上增加行</t>
    <phoneticPr fontId="3" type="noConversion"/>
  </si>
  <si>
    <t>庞氏（转户）</t>
    <phoneticPr fontId="3" type="noConversion"/>
  </si>
  <si>
    <t>望捷（转户）</t>
    <phoneticPr fontId="3" type="noConversion"/>
  </si>
  <si>
    <t>庞氏商贸集团有限公司</t>
    <phoneticPr fontId="3" type="noConversion"/>
  </si>
  <si>
    <t>10月</t>
    <phoneticPr fontId="3" type="noConversion"/>
  </si>
  <si>
    <t>天津望捷进出口有限公司</t>
    <phoneticPr fontId="3" type="noConversion"/>
  </si>
  <si>
    <t>天津好收成商贸（帐期）</t>
    <phoneticPr fontId="3" type="noConversion"/>
  </si>
  <si>
    <t xml:space="preserve">天津好收成商贸（帐期）2 </t>
    <phoneticPr fontId="3" type="noConversion"/>
  </si>
  <si>
    <t>天津好收成商贸（蔬果）</t>
    <phoneticPr fontId="3" type="noConversion"/>
  </si>
  <si>
    <t>3天</t>
    <phoneticPr fontId="3" type="noConversion"/>
  </si>
  <si>
    <t>北京好收成</t>
    <phoneticPr fontId="3" type="noConversion"/>
  </si>
  <si>
    <t>北京好收成(蔬果）</t>
    <phoneticPr fontId="3" type="noConversion"/>
  </si>
  <si>
    <t>内部应收合计</t>
    <phoneticPr fontId="3" type="noConversion"/>
  </si>
  <si>
    <t>好收成车销</t>
  </si>
  <si>
    <t>姚鸿</t>
    <phoneticPr fontId="3" type="noConversion"/>
  </si>
  <si>
    <t>乐易购超市</t>
  </si>
  <si>
    <t>已对帐未付款已报公司</t>
  </si>
  <si>
    <t>天津华润集团</t>
  </si>
  <si>
    <t>45天</t>
    <phoneticPr fontId="4" type="noConversion"/>
  </si>
  <si>
    <t>已交领导</t>
    <phoneticPr fontId="3" type="noConversion"/>
  </si>
  <si>
    <t>（包括本集团）总计</t>
    <phoneticPr fontId="3" type="noConversion"/>
  </si>
  <si>
    <t xml:space="preserve">说明：1、每月5日前财务部门负责应收账款和回款情况统计表，交给销管部落实直接
        责任人和间接责任人签字确认。销管部门负责人签字后，交给财务部审核和备案。财务审核完毕的应收账款考核结果交给人力资源部门核定工资和绩效奖金。
</t>
    <phoneticPr fontId="4" type="noConversion"/>
  </si>
  <si>
    <t xml:space="preserve">     2、每月10日业务部根据当月应收情况，计算考核扣款金额，并报销售管理部、人力部审核后做入当月工资扣款中。</t>
    <phoneticPr fontId="4" type="noConversion"/>
  </si>
  <si>
    <t xml:space="preserve">     3、每月15日财务部统计当月回款情况填于此表，报销售管理部和总经理反馈回款进度。</t>
    <phoneticPr fontId="4" type="noConversion"/>
  </si>
  <si>
    <t>备注：1、应收帐款以实际发货日为对账基准日形成的应收款</t>
    <phoneticPr fontId="3" type="noConversion"/>
  </si>
  <si>
    <t xml:space="preserve">     2、除批注说明外，其他数据都是已上账数据</t>
    <phoneticPr fontId="3" type="noConversion"/>
  </si>
  <si>
    <t>a在此行之上增加行</t>
    <phoneticPr fontId="3" type="noConversion"/>
  </si>
  <si>
    <t>11月11日转账支票18293.51元、12月6日转账支票12956.5元</t>
    <phoneticPr fontId="3" type="noConversion"/>
  </si>
</sst>
</file>

<file path=xl/styles.xml><?xml version="1.0" encoding="utf-8"?>
<styleSheet xmlns="http://schemas.openxmlformats.org/spreadsheetml/2006/main">
  <numFmts count="5">
    <numFmt numFmtId="43" formatCode="_ * #,##0.00_ ;_ * \-#,##0.00_ ;_ * &quot;-&quot;??_ ;_ @_ "/>
    <numFmt numFmtId="176" formatCode="_-* #,##0.00_-;\-* #,##0.00_-;_-* &quot;-&quot;??_-;_-@_-"/>
    <numFmt numFmtId="177" formatCode="yyyy&quot;年&quot;m&quot;月&quot;;@"/>
    <numFmt numFmtId="178" formatCode="0.00_);\(0.00\)"/>
    <numFmt numFmtId="179" formatCode="#,##0.00_);[Red]\(#,##0.00\)"/>
  </numFmts>
  <fonts count="30">
    <font>
      <sz val="11"/>
      <color theme="1"/>
      <name val="宋体"/>
      <family val="2"/>
      <charset val="134"/>
      <scheme val="minor"/>
    </font>
    <font>
      <sz val="11"/>
      <color theme="1"/>
      <name val="宋体"/>
      <family val="2"/>
      <charset val="134"/>
      <scheme val="minor"/>
    </font>
    <font>
      <b/>
      <sz val="9"/>
      <name val="宋体"/>
      <family val="3"/>
      <charset val="134"/>
    </font>
    <font>
      <sz val="9"/>
      <name val="宋体"/>
      <family val="2"/>
      <charset val="134"/>
      <scheme val="minor"/>
    </font>
    <font>
      <sz val="9"/>
      <name val="宋体"/>
      <family val="3"/>
      <charset val="134"/>
    </font>
    <font>
      <sz val="11"/>
      <color theme="1"/>
      <name val="宋体"/>
      <family val="3"/>
      <charset val="134"/>
      <scheme val="minor"/>
    </font>
    <font>
      <sz val="9"/>
      <color theme="1"/>
      <name val="宋体"/>
      <family val="3"/>
      <charset val="134"/>
      <scheme val="minor"/>
    </font>
    <font>
      <sz val="12"/>
      <name val="宋体"/>
      <family val="3"/>
      <charset val="134"/>
    </font>
    <font>
      <b/>
      <sz val="9"/>
      <color theme="1"/>
      <name val="宋体"/>
      <family val="3"/>
      <charset val="134"/>
      <scheme val="minor"/>
    </font>
    <font>
      <sz val="9"/>
      <color indexed="8"/>
      <name val="宋体"/>
      <family val="3"/>
      <charset val="134"/>
    </font>
    <font>
      <b/>
      <sz val="9"/>
      <color theme="1"/>
      <name val="宋体"/>
      <family val="3"/>
      <charset val="134"/>
    </font>
    <font>
      <sz val="9"/>
      <color theme="1"/>
      <name val="宋体"/>
      <family val="3"/>
      <charset val="134"/>
    </font>
    <font>
      <sz val="10"/>
      <color indexed="8"/>
      <name val="宋体"/>
      <family val="3"/>
      <charset val="134"/>
    </font>
    <font>
      <sz val="11"/>
      <name val="宋体"/>
      <family val="3"/>
      <charset val="134"/>
    </font>
    <font>
      <sz val="9"/>
      <color rgb="FFFF0000"/>
      <name val="宋体"/>
      <family val="3"/>
      <charset val="134"/>
    </font>
    <font>
      <sz val="9"/>
      <name val="宋体"/>
      <family val="3"/>
      <charset val="134"/>
      <scheme val="minor"/>
    </font>
    <font>
      <b/>
      <sz val="9"/>
      <name val="宋体"/>
      <family val="3"/>
      <charset val="134"/>
      <scheme val="minor"/>
    </font>
    <font>
      <sz val="9"/>
      <color indexed="8"/>
      <name val="宋体"/>
      <family val="3"/>
      <charset val="134"/>
      <scheme val="minor"/>
    </font>
    <font>
      <sz val="9"/>
      <color theme="1"/>
      <name val="宋体"/>
      <family val="2"/>
      <charset val="134"/>
      <scheme val="minor"/>
    </font>
    <font>
      <sz val="11"/>
      <color indexed="8"/>
      <name val="宋体"/>
      <family val="3"/>
      <charset val="134"/>
    </font>
    <font>
      <b/>
      <sz val="10"/>
      <color theme="1"/>
      <name val="宋体"/>
      <family val="3"/>
      <charset val="134"/>
      <scheme val="minor"/>
    </font>
    <font>
      <b/>
      <sz val="9"/>
      <color indexed="81"/>
      <name val="宋体"/>
      <family val="3"/>
      <charset val="134"/>
    </font>
    <font>
      <sz val="9"/>
      <color indexed="81"/>
      <name val="宋体"/>
      <family val="3"/>
      <charset val="134"/>
    </font>
    <font>
      <sz val="10"/>
      <name val="MS Sans Serif"/>
    </font>
    <font>
      <sz val="12"/>
      <name val="Times New Roman"/>
      <family val="1"/>
    </font>
    <font>
      <sz val="9"/>
      <name val="MS Sans Serif"/>
      <family val="2"/>
    </font>
    <font>
      <b/>
      <sz val="9"/>
      <color indexed="8"/>
      <name val="宋体"/>
      <family val="3"/>
      <charset val="134"/>
    </font>
    <font>
      <b/>
      <sz val="10"/>
      <color indexed="8"/>
      <name val="宋体"/>
      <family val="3"/>
      <charset val="134"/>
    </font>
    <font>
      <b/>
      <sz val="9"/>
      <color indexed="81"/>
      <name val="Tahoma"/>
      <family val="2"/>
    </font>
    <font>
      <sz val="9"/>
      <color indexed="81"/>
      <name val="Tahoma"/>
      <family val="2"/>
    </font>
  </fonts>
  <fills count="11">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0"/>
        <bgColor indexed="64"/>
      </patternFill>
    </fill>
    <fill>
      <patternFill patternType="solid">
        <fgColor rgb="FFFDE9D9"/>
        <bgColor indexed="64"/>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8" tint="0.39997558519241921"/>
        <bgColor indexed="64"/>
      </patternFill>
    </fill>
  </fills>
  <borders count="11">
    <border>
      <left/>
      <right/>
      <top/>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3"/>
      </left>
      <right/>
      <top/>
      <bottom style="thin">
        <color indexed="63"/>
      </bottom>
      <diagonal/>
    </border>
    <border>
      <left style="thin">
        <color indexed="63"/>
      </left>
      <right/>
      <top style="thin">
        <color indexed="63"/>
      </top>
      <bottom style="thin">
        <color indexed="63"/>
      </bottom>
      <diagonal/>
    </border>
    <border>
      <left style="thin">
        <color indexed="64"/>
      </left>
      <right style="thin">
        <color indexed="64"/>
      </right>
      <top/>
      <bottom/>
      <diagonal/>
    </border>
    <border>
      <left style="thin">
        <color indexed="64"/>
      </left>
      <right/>
      <top style="thin">
        <color indexed="64"/>
      </top>
      <bottom/>
      <diagonal/>
    </border>
  </borders>
  <cellStyleXfs count="20">
    <xf numFmtId="0" fontId="0" fillId="0" borderId="0">
      <alignment vertical="center"/>
    </xf>
    <xf numFmtId="9" fontId="1" fillId="0" borderId="0" applyFont="0" applyFill="0" applyBorder="0" applyAlignment="0" applyProtection="0">
      <alignment vertical="center"/>
    </xf>
    <xf numFmtId="0" fontId="5" fillId="0" borderId="0">
      <alignment vertical="center"/>
    </xf>
    <xf numFmtId="0" fontId="7" fillId="0" borderId="0"/>
    <xf numFmtId="177" fontId="7" fillId="0" borderId="0" applyFont="0" applyFill="0" applyBorder="0" applyAlignment="0" applyProtection="0">
      <alignment vertical="center"/>
    </xf>
    <xf numFmtId="177" fontId="1" fillId="0" borderId="0" applyFont="0" applyFill="0" applyBorder="0" applyAlignment="0" applyProtection="0">
      <alignment vertical="center"/>
    </xf>
    <xf numFmtId="9" fontId="19" fillId="0" borderId="0" applyFont="0" applyFill="0" applyBorder="0" applyAlignment="0" applyProtection="0">
      <alignment vertical="center"/>
    </xf>
    <xf numFmtId="0" fontId="23" fillId="0" borderId="0"/>
    <xf numFmtId="0" fontId="23" fillId="0" borderId="0"/>
    <xf numFmtId="0" fontId="23" fillId="0" borderId="0"/>
    <xf numFmtId="0" fontId="23" fillId="0" borderId="0"/>
    <xf numFmtId="0" fontId="23" fillId="0" borderId="0"/>
    <xf numFmtId="0" fontId="7" fillId="0" borderId="0"/>
    <xf numFmtId="0" fontId="7" fillId="0" borderId="0"/>
    <xf numFmtId="0" fontId="23" fillId="0" borderId="0"/>
    <xf numFmtId="0" fontId="23" fillId="0" borderId="0"/>
    <xf numFmtId="0" fontId="23" fillId="0" borderId="0"/>
    <xf numFmtId="0" fontId="24" fillId="0" borderId="0"/>
    <xf numFmtId="177" fontId="7" fillId="0" borderId="0" applyFont="0" applyFill="0" applyBorder="0" applyAlignment="0" applyProtection="0">
      <alignment vertical="center"/>
    </xf>
    <xf numFmtId="177" fontId="1" fillId="0" borderId="0" applyFont="0" applyFill="0" applyBorder="0" applyAlignment="0" applyProtection="0">
      <alignment vertical="center"/>
    </xf>
  </cellStyleXfs>
  <cellXfs count="256">
    <xf numFmtId="0" fontId="0" fillId="0" borderId="0" xfId="0">
      <alignment vertical="center"/>
    </xf>
    <xf numFmtId="0" fontId="2" fillId="0" borderId="0" xfId="2" applyFont="1" applyBorder="1" applyAlignment="1">
      <alignment horizontal="center" vertical="center"/>
    </xf>
    <xf numFmtId="0" fontId="6" fillId="0" borderId="0" xfId="0" applyFont="1">
      <alignment vertical="center"/>
    </xf>
    <xf numFmtId="0" fontId="4" fillId="0" borderId="1" xfId="0" applyFont="1" applyBorder="1" applyAlignment="1">
      <alignment horizontal="left" vertical="center"/>
    </xf>
    <xf numFmtId="0" fontId="2" fillId="0" borderId="1" xfId="0" applyFont="1" applyBorder="1" applyAlignment="1">
      <alignment horizontal="center" vertical="center"/>
    </xf>
    <xf numFmtId="0" fontId="6" fillId="0" borderId="0" xfId="0" applyFont="1" applyFill="1">
      <alignment vertical="center"/>
    </xf>
    <xf numFmtId="177" fontId="6" fillId="0" borderId="1" xfId="3" applyNumberFormat="1" applyFont="1" applyFill="1" applyBorder="1" applyAlignment="1">
      <alignment horizontal="center" vertical="center"/>
    </xf>
    <xf numFmtId="0" fontId="2" fillId="0" borderId="0" xfId="0" applyFont="1" applyBorder="1" applyAlignment="1">
      <alignment horizontal="center" vertical="center"/>
    </xf>
    <xf numFmtId="0" fontId="2" fillId="0" borderId="0" xfId="0" applyFont="1" applyFill="1" applyBorder="1" applyAlignment="1">
      <alignment horizontal="center" vertical="center"/>
    </xf>
    <xf numFmtId="0" fontId="4" fillId="0" borderId="0" xfId="2" applyFont="1">
      <alignment vertical="center"/>
    </xf>
    <xf numFmtId="0" fontId="8" fillId="0" borderId="0" xfId="0" applyFont="1" applyAlignment="1">
      <alignment horizontal="center" vertical="center"/>
    </xf>
    <xf numFmtId="176" fontId="2" fillId="0" borderId="3" xfId="4" applyNumberFormat="1" applyFont="1" applyFill="1" applyBorder="1" applyAlignment="1">
      <alignment horizontal="center" vertical="center"/>
    </xf>
    <xf numFmtId="0" fontId="4" fillId="3" borderId="3" xfId="2" applyFont="1" applyFill="1" applyBorder="1">
      <alignment vertical="center"/>
    </xf>
    <xf numFmtId="0" fontId="6" fillId="3" borderId="3" xfId="2" applyFont="1" applyFill="1" applyBorder="1">
      <alignment vertical="center"/>
    </xf>
    <xf numFmtId="0" fontId="4" fillId="4" borderId="3" xfId="2" applyFont="1" applyFill="1" applyBorder="1">
      <alignment vertical="center"/>
    </xf>
    <xf numFmtId="0" fontId="4" fillId="4" borderId="3" xfId="2" applyFont="1" applyFill="1" applyBorder="1" applyAlignment="1">
      <alignment horizontal="center" vertical="center"/>
    </xf>
    <xf numFmtId="0" fontId="4" fillId="0" borderId="6" xfId="0" applyFont="1" applyBorder="1" applyAlignment="1">
      <alignment horizontal="center" vertical="center"/>
    </xf>
    <xf numFmtId="0" fontId="4" fillId="0" borderId="3" xfId="0" applyFont="1" applyFill="1" applyBorder="1" applyAlignment="1">
      <alignment horizontal="center" shrinkToFit="1"/>
    </xf>
    <xf numFmtId="0" fontId="4" fillId="5" borderId="3" xfId="0" applyNumberFormat="1" applyFont="1" applyFill="1" applyBorder="1" applyAlignment="1" applyProtection="1">
      <alignment horizontal="center" wrapText="1"/>
    </xf>
    <xf numFmtId="0" fontId="2" fillId="0" borderId="6" xfId="3" applyFont="1" applyFill="1" applyBorder="1" applyAlignment="1">
      <alignment horizontal="center" wrapText="1"/>
    </xf>
    <xf numFmtId="0" fontId="4" fillId="0" borderId="3" xfId="0" applyFont="1" applyBorder="1" applyAlignment="1">
      <alignment horizontal="center" wrapText="1"/>
    </xf>
    <xf numFmtId="43" fontId="4" fillId="0" borderId="3" xfId="0" applyNumberFormat="1" applyFont="1" applyFill="1" applyBorder="1" applyAlignment="1" applyProtection="1">
      <alignment horizontal="center" wrapText="1"/>
    </xf>
    <xf numFmtId="43" fontId="9" fillId="0" borderId="3" xfId="3" applyNumberFormat="1" applyFont="1" applyFill="1" applyBorder="1" applyAlignment="1">
      <alignment horizontal="center" wrapText="1"/>
    </xf>
    <xf numFmtId="43" fontId="10" fillId="2" borderId="6" xfId="5" applyNumberFormat="1" applyFont="1" applyFill="1" applyBorder="1" applyAlignment="1">
      <alignment horizontal="center" wrapText="1"/>
    </xf>
    <xf numFmtId="43" fontId="2" fillId="0" borderId="3" xfId="4" applyNumberFormat="1" applyFont="1" applyFill="1" applyBorder="1" applyAlignment="1">
      <alignment horizontal="center" vertical="center"/>
    </xf>
    <xf numFmtId="43" fontId="4" fillId="0" borderId="3" xfId="3" applyNumberFormat="1" applyFont="1" applyFill="1" applyBorder="1" applyAlignment="1">
      <alignment horizontal="center" wrapText="1"/>
    </xf>
    <xf numFmtId="43" fontId="10" fillId="2" borderId="6" xfId="0" applyNumberFormat="1" applyFont="1" applyFill="1" applyBorder="1" applyAlignment="1">
      <alignment horizontal="center" vertical="center" wrapText="1"/>
    </xf>
    <xf numFmtId="43" fontId="11" fillId="0" borderId="6" xfId="0" applyNumberFormat="1" applyFont="1" applyFill="1" applyBorder="1" applyAlignment="1">
      <alignment horizontal="center" vertical="center" wrapText="1"/>
    </xf>
    <xf numFmtId="179" fontId="12" fillId="6" borderId="3" xfId="4" applyNumberFormat="1" applyFont="1" applyFill="1" applyBorder="1" applyAlignment="1">
      <alignment horizontal="center" wrapText="1"/>
    </xf>
    <xf numFmtId="0" fontId="11" fillId="3" borderId="3" xfId="2" applyFont="1" applyFill="1" applyBorder="1">
      <alignment vertical="center"/>
    </xf>
    <xf numFmtId="10" fontId="4" fillId="4" borderId="3" xfId="2" applyNumberFormat="1" applyFont="1" applyFill="1" applyBorder="1" applyAlignment="1">
      <alignment horizontal="center" vertical="center"/>
    </xf>
    <xf numFmtId="0" fontId="11" fillId="0" borderId="0" xfId="0" applyFont="1" applyAlignment="1">
      <alignment horizontal="center" vertical="center"/>
    </xf>
    <xf numFmtId="58" fontId="4" fillId="4" borderId="3" xfId="2" applyNumberFormat="1" applyFont="1" applyFill="1" applyBorder="1">
      <alignment vertical="center"/>
    </xf>
    <xf numFmtId="0" fontId="10" fillId="0" borderId="0" xfId="0" applyFont="1" applyAlignment="1">
      <alignment horizontal="center" vertical="center"/>
    </xf>
    <xf numFmtId="0" fontId="4" fillId="0" borderId="3" xfId="0" applyNumberFormat="1" applyFont="1" applyFill="1" applyBorder="1" applyAlignment="1" applyProtection="1">
      <alignment horizontal="center" shrinkToFit="1"/>
    </xf>
    <xf numFmtId="0" fontId="13" fillId="0" borderId="3" xfId="0" applyFont="1" applyBorder="1" applyAlignment="1" applyProtection="1">
      <alignment wrapText="1"/>
      <protection locked="0"/>
    </xf>
    <xf numFmtId="43" fontId="9" fillId="0" borderId="3" xfId="3" applyNumberFormat="1" applyFont="1" applyFill="1" applyBorder="1" applyAlignment="1">
      <alignment wrapText="1"/>
    </xf>
    <xf numFmtId="0" fontId="14" fillId="4" borderId="3" xfId="2" applyFont="1" applyFill="1" applyBorder="1">
      <alignment vertical="center"/>
    </xf>
    <xf numFmtId="43" fontId="15" fillId="0" borderId="3" xfId="4" applyNumberFormat="1" applyFont="1" applyFill="1" applyBorder="1" applyAlignment="1">
      <alignment horizontal="center"/>
    </xf>
    <xf numFmtId="43" fontId="16" fillId="0" borderId="3" xfId="4" applyNumberFormat="1" applyFont="1" applyFill="1" applyBorder="1" applyAlignment="1">
      <alignment horizontal="center"/>
    </xf>
    <xf numFmtId="43" fontId="15" fillId="0" borderId="3" xfId="3" applyNumberFormat="1" applyFont="1" applyFill="1" applyBorder="1" applyAlignment="1">
      <alignment horizontal="center" wrapText="1"/>
    </xf>
    <xf numFmtId="179" fontId="9" fillId="6" borderId="3" xfId="4" applyNumberFormat="1" applyFont="1" applyFill="1" applyBorder="1" applyAlignment="1">
      <alignment horizontal="center" wrapText="1"/>
    </xf>
    <xf numFmtId="3" fontId="13" fillId="0" borderId="3" xfId="0" applyNumberFormat="1" applyFont="1" applyBorder="1" applyAlignment="1" applyProtection="1">
      <alignment wrapText="1"/>
      <protection locked="0"/>
    </xf>
    <xf numFmtId="4" fontId="13" fillId="0" borderId="3" xfId="0" applyNumberFormat="1" applyFont="1" applyBorder="1" applyAlignment="1" applyProtection="1">
      <alignment wrapText="1"/>
      <protection locked="0"/>
    </xf>
    <xf numFmtId="43" fontId="17" fillId="5" borderId="3" xfId="3" applyNumberFormat="1" applyFont="1" applyFill="1" applyBorder="1" applyAlignment="1">
      <alignment horizontal="center" wrapText="1"/>
    </xf>
    <xf numFmtId="43" fontId="4" fillId="0" borderId="3" xfId="4" applyNumberFormat="1" applyFont="1" applyFill="1" applyBorder="1" applyAlignment="1">
      <alignment horizontal="center" wrapText="1"/>
    </xf>
    <xf numFmtId="43" fontId="4" fillId="0" borderId="3" xfId="4" applyNumberFormat="1" applyFont="1" applyFill="1" applyBorder="1" applyAlignment="1">
      <alignment horizontal="center" vertical="center"/>
    </xf>
    <xf numFmtId="0" fontId="4" fillId="5" borderId="3" xfId="0" applyNumberFormat="1" applyFont="1" applyFill="1" applyBorder="1" applyAlignment="1" applyProtection="1">
      <alignment horizontal="center" shrinkToFit="1"/>
    </xf>
    <xf numFmtId="0" fontId="4" fillId="5" borderId="4" xfId="0" applyNumberFormat="1" applyFont="1" applyFill="1" applyBorder="1" applyAlignment="1" applyProtection="1">
      <alignment horizontal="center" shrinkToFit="1"/>
    </xf>
    <xf numFmtId="4" fontId="13" fillId="0" borderId="6" xfId="0" applyNumberFormat="1" applyFont="1" applyBorder="1" applyAlignment="1" applyProtection="1">
      <alignment wrapText="1"/>
      <protection locked="0"/>
    </xf>
    <xf numFmtId="0" fontId="4" fillId="7" borderId="6" xfId="0" applyFont="1" applyFill="1" applyBorder="1" applyAlignment="1">
      <alignment horizontal="center" vertical="center"/>
    </xf>
    <xf numFmtId="0" fontId="6" fillId="7" borderId="4" xfId="0" applyNumberFormat="1" applyFont="1" applyFill="1" applyBorder="1" applyAlignment="1">
      <alignment horizontal="center" shrinkToFit="1"/>
    </xf>
    <xf numFmtId="0" fontId="18" fillId="7" borderId="3" xfId="0" applyNumberFormat="1" applyFont="1" applyFill="1" applyBorder="1" applyAlignment="1">
      <alignment horizontal="center" wrapText="1"/>
    </xf>
    <xf numFmtId="0" fontId="9" fillId="7" borderId="6" xfId="3" applyFont="1" applyFill="1" applyBorder="1" applyAlignment="1">
      <alignment horizontal="center" wrapText="1"/>
    </xf>
    <xf numFmtId="0" fontId="15" fillId="7" borderId="3" xfId="0" applyNumberFormat="1" applyFont="1" applyFill="1" applyBorder="1" applyAlignment="1" applyProtection="1">
      <alignment horizontal="center" wrapText="1"/>
    </xf>
    <xf numFmtId="43" fontId="15" fillId="7" borderId="3" xfId="0" applyNumberFormat="1" applyFont="1" applyFill="1" applyBorder="1" applyAlignment="1" applyProtection="1">
      <alignment horizontal="center" wrapText="1"/>
    </xf>
    <xf numFmtId="43" fontId="16" fillId="7" borderId="3" xfId="4" applyNumberFormat="1" applyFont="1" applyFill="1" applyBorder="1" applyAlignment="1">
      <alignment horizontal="center"/>
    </xf>
    <xf numFmtId="43" fontId="11" fillId="7" borderId="6" xfId="0" applyNumberFormat="1" applyFont="1" applyFill="1" applyBorder="1" applyAlignment="1">
      <alignment horizontal="center" vertical="center" wrapText="1"/>
    </xf>
    <xf numFmtId="0" fontId="4" fillId="7" borderId="3" xfId="2" applyFont="1" applyFill="1" applyBorder="1">
      <alignment vertical="center"/>
    </xf>
    <xf numFmtId="179" fontId="9" fillId="7" borderId="3" xfId="4" applyNumberFormat="1" applyFont="1" applyFill="1" applyBorder="1" applyAlignment="1">
      <alignment horizontal="center" wrapText="1"/>
    </xf>
    <xf numFmtId="0" fontId="11" fillId="7" borderId="3" xfId="2" applyFont="1" applyFill="1" applyBorder="1">
      <alignment vertical="center"/>
    </xf>
    <xf numFmtId="0" fontId="4" fillId="7" borderId="3" xfId="2" applyFont="1" applyFill="1" applyBorder="1" applyAlignment="1">
      <alignment horizontal="center" vertical="center"/>
    </xf>
    <xf numFmtId="0" fontId="4" fillId="8" borderId="6" xfId="0" applyFont="1" applyFill="1" applyBorder="1" applyAlignment="1">
      <alignment horizontal="center" vertical="center"/>
    </xf>
    <xf numFmtId="0" fontId="6" fillId="8" borderId="4" xfId="0" applyNumberFormat="1" applyFont="1" applyFill="1" applyBorder="1" applyAlignment="1">
      <alignment horizontal="center" shrinkToFit="1"/>
    </xf>
    <xf numFmtId="0" fontId="18" fillId="8" borderId="3" xfId="0" applyNumberFormat="1" applyFont="1" applyFill="1" applyBorder="1" applyAlignment="1">
      <alignment horizontal="center" wrapText="1"/>
    </xf>
    <xf numFmtId="0" fontId="9" fillId="8" borderId="6" xfId="3" applyFont="1" applyFill="1" applyBorder="1" applyAlignment="1">
      <alignment horizontal="center" wrapText="1"/>
    </xf>
    <xf numFmtId="0" fontId="15" fillId="8" borderId="3" xfId="0" applyNumberFormat="1" applyFont="1" applyFill="1" applyBorder="1" applyAlignment="1" applyProtection="1">
      <alignment horizontal="center" wrapText="1"/>
    </xf>
    <xf numFmtId="43" fontId="15" fillId="8" borderId="3" xfId="0" applyNumberFormat="1" applyFont="1" applyFill="1" applyBorder="1" applyAlignment="1" applyProtection="1">
      <alignment horizontal="center" wrapText="1"/>
    </xf>
    <xf numFmtId="43" fontId="16" fillId="8" borderId="3" xfId="4" applyNumberFormat="1" applyFont="1" applyFill="1" applyBorder="1" applyAlignment="1">
      <alignment horizontal="center"/>
    </xf>
    <xf numFmtId="43" fontId="16" fillId="2" borderId="3" xfId="4" applyNumberFormat="1" applyFont="1" applyFill="1" applyBorder="1" applyAlignment="1">
      <alignment horizontal="center"/>
    </xf>
    <xf numFmtId="43" fontId="11" fillId="8" borderId="6" xfId="0" applyNumberFormat="1" applyFont="1" applyFill="1" applyBorder="1" applyAlignment="1">
      <alignment horizontal="center" vertical="center" wrapText="1"/>
    </xf>
    <xf numFmtId="0" fontId="4" fillId="8" borderId="3" xfId="2" applyFont="1" applyFill="1" applyBorder="1">
      <alignment vertical="center"/>
    </xf>
    <xf numFmtId="179" fontId="9" fillId="8" borderId="3" xfId="4" applyNumberFormat="1" applyFont="1" applyFill="1" applyBorder="1" applyAlignment="1">
      <alignment horizontal="center" wrapText="1"/>
    </xf>
    <xf numFmtId="0" fontId="11" fillId="8" borderId="3" xfId="2" applyFont="1" applyFill="1" applyBorder="1">
      <alignment vertical="center"/>
    </xf>
    <xf numFmtId="0" fontId="4" fillId="8" borderId="3" xfId="2" applyFont="1" applyFill="1" applyBorder="1" applyAlignment="1">
      <alignment horizontal="center" vertical="center"/>
    </xf>
    <xf numFmtId="0" fontId="4" fillId="0" borderId="4" xfId="0" applyNumberFormat="1" applyFont="1" applyFill="1" applyBorder="1" applyAlignment="1" applyProtection="1">
      <alignment horizontal="center" shrinkToFit="1"/>
    </xf>
    <xf numFmtId="0" fontId="4" fillId="5" borderId="6" xfId="0" applyNumberFormat="1" applyFont="1" applyFill="1" applyBorder="1" applyAlignment="1" applyProtection="1">
      <alignment horizontal="center" wrapText="1"/>
    </xf>
    <xf numFmtId="43" fontId="17" fillId="7" borderId="3" xfId="3" applyNumberFormat="1" applyFont="1" applyFill="1" applyBorder="1" applyAlignment="1">
      <alignment horizontal="center" wrapText="1"/>
    </xf>
    <xf numFmtId="43" fontId="15" fillId="8" borderId="3" xfId="4" applyNumberFormat="1" applyFont="1" applyFill="1" applyBorder="1" applyAlignment="1">
      <alignment horizontal="center"/>
    </xf>
    <xf numFmtId="0" fontId="4" fillId="5" borderId="3" xfId="0" applyNumberFormat="1" applyFont="1" applyFill="1" applyBorder="1" applyAlignment="1" applyProtection="1">
      <alignment horizontal="center" vertical="center" shrinkToFit="1"/>
    </xf>
    <xf numFmtId="43" fontId="11" fillId="2" borderId="6" xfId="5" applyNumberFormat="1" applyFont="1" applyFill="1" applyBorder="1" applyAlignment="1">
      <alignment horizontal="center" wrapText="1"/>
    </xf>
    <xf numFmtId="43" fontId="11" fillId="2" borderId="6" xfId="0" applyNumberFormat="1" applyFont="1" applyFill="1" applyBorder="1" applyAlignment="1">
      <alignment horizontal="center" vertical="center" wrapText="1"/>
    </xf>
    <xf numFmtId="43" fontId="4" fillId="5" borderId="3" xfId="0" applyNumberFormat="1" applyFont="1" applyFill="1" applyBorder="1" applyAlignment="1" applyProtection="1">
      <alignment horizontal="center" wrapText="1"/>
    </xf>
    <xf numFmtId="43" fontId="15" fillId="7" borderId="3" xfId="4" applyNumberFormat="1" applyFont="1" applyFill="1" applyBorder="1" applyAlignment="1">
      <alignment horizontal="center"/>
    </xf>
    <xf numFmtId="0" fontId="4" fillId="8" borderId="3" xfId="0" applyFont="1" applyFill="1" applyBorder="1" applyAlignment="1">
      <alignment horizontal="center" wrapText="1"/>
    </xf>
    <xf numFmtId="0" fontId="4" fillId="8" borderId="3" xfId="0" applyNumberFormat="1" applyFont="1" applyFill="1" applyBorder="1" applyAlignment="1" applyProtection="1">
      <alignment horizontal="center" shrinkToFit="1"/>
    </xf>
    <xf numFmtId="0" fontId="4" fillId="8" borderId="3" xfId="0" applyNumberFormat="1" applyFont="1" applyFill="1" applyBorder="1" applyAlignment="1" applyProtection="1">
      <alignment horizontal="center" wrapText="1"/>
    </xf>
    <xf numFmtId="0" fontId="9" fillId="8" borderId="3" xfId="3" applyFont="1" applyFill="1" applyBorder="1" applyAlignment="1">
      <alignment horizontal="center" wrapText="1"/>
    </xf>
    <xf numFmtId="43" fontId="4" fillId="8" borderId="3" xfId="5" applyNumberFormat="1" applyFont="1" applyFill="1" applyBorder="1" applyAlignment="1" applyProtection="1">
      <alignment horizontal="center" wrapText="1"/>
    </xf>
    <xf numFmtId="10" fontId="4" fillId="8" borderId="3" xfId="6" applyNumberFormat="1" applyFont="1" applyFill="1" applyBorder="1">
      <alignment vertical="center"/>
    </xf>
    <xf numFmtId="0" fontId="11" fillId="0" borderId="0" xfId="0" applyFont="1">
      <alignment vertical="center"/>
    </xf>
    <xf numFmtId="0" fontId="8" fillId="0" borderId="0" xfId="0" applyFont="1">
      <alignment vertical="center"/>
    </xf>
    <xf numFmtId="0" fontId="20" fillId="0" borderId="0" xfId="2" applyFont="1" applyFill="1" applyBorder="1" applyAlignment="1">
      <alignment horizontal="left" vertical="center"/>
    </xf>
    <xf numFmtId="0" fontId="20" fillId="0" borderId="0" xfId="2" applyFont="1" applyFill="1" applyBorder="1">
      <alignment vertical="center"/>
    </xf>
    <xf numFmtId="0" fontId="8" fillId="0" borderId="0" xfId="0" applyFont="1" applyFill="1">
      <alignment vertical="center"/>
    </xf>
    <xf numFmtId="0" fontId="6" fillId="0" borderId="0" xfId="0" applyFont="1" applyFill="1" applyAlignment="1">
      <alignment horizontal="center" vertical="center" wrapText="1"/>
    </xf>
    <xf numFmtId="0" fontId="6" fillId="0" borderId="0" xfId="2" applyFont="1" applyFill="1" applyBorder="1">
      <alignment vertical="center"/>
    </xf>
    <xf numFmtId="0" fontId="6" fillId="0" borderId="0" xfId="2" applyFont="1" applyBorder="1">
      <alignment vertical="center"/>
    </xf>
    <xf numFmtId="0" fontId="6" fillId="0" borderId="0" xfId="0" applyFont="1" applyAlignment="1">
      <alignment horizontal="center" vertical="center" wrapText="1"/>
    </xf>
    <xf numFmtId="0" fontId="6" fillId="0" borderId="0" xfId="2" applyFont="1">
      <alignment vertical="center"/>
    </xf>
    <xf numFmtId="0" fontId="4" fillId="0" borderId="1" xfId="0" applyFont="1" applyBorder="1" applyAlignment="1">
      <alignment horizontal="center" vertical="center"/>
    </xf>
    <xf numFmtId="0" fontId="2" fillId="0" borderId="1" xfId="0" applyFont="1" applyBorder="1" applyAlignment="1">
      <alignment vertical="center"/>
    </xf>
    <xf numFmtId="0" fontId="15" fillId="0" borderId="0" xfId="0" applyFont="1">
      <alignment vertical="center"/>
    </xf>
    <xf numFmtId="176" fontId="2" fillId="0" borderId="3" xfId="18" applyNumberFormat="1" applyFont="1" applyFill="1" applyBorder="1" applyAlignment="1">
      <alignment vertical="center"/>
    </xf>
    <xf numFmtId="176" fontId="2" fillId="0" borderId="3" xfId="18" applyNumberFormat="1" applyFont="1" applyFill="1" applyBorder="1" applyAlignment="1">
      <alignment horizontal="center" vertical="center"/>
    </xf>
    <xf numFmtId="0" fontId="4" fillId="0" borderId="7" xfId="0" applyNumberFormat="1" applyFont="1" applyFill="1" applyBorder="1" applyAlignment="1" applyProtection="1">
      <alignment horizontal="center" wrapText="1"/>
    </xf>
    <xf numFmtId="0" fontId="2" fillId="0" borderId="6" xfId="3" applyFont="1" applyFill="1" applyBorder="1" applyAlignment="1">
      <alignment horizontal="center"/>
    </xf>
    <xf numFmtId="43" fontId="4" fillId="5" borderId="6" xfId="0" applyNumberFormat="1" applyFont="1" applyFill="1" applyBorder="1" applyAlignment="1" applyProtection="1">
      <alignment horizontal="center" wrapText="1"/>
    </xf>
    <xf numFmtId="43" fontId="4" fillId="0" borderId="3" xfId="3" applyNumberFormat="1" applyFont="1" applyFill="1" applyBorder="1" applyAlignment="1">
      <alignment wrapText="1"/>
    </xf>
    <xf numFmtId="43" fontId="10" fillId="2" borderId="6" xfId="0" applyNumberFormat="1" applyFont="1" applyFill="1" applyBorder="1" applyAlignment="1">
      <alignment horizontal="center" wrapText="1"/>
    </xf>
    <xf numFmtId="43" fontId="2" fillId="0" borderId="3" xfId="18" applyNumberFormat="1" applyFont="1" applyFill="1" applyBorder="1" applyAlignment="1">
      <alignment horizontal="center" wrapText="1"/>
    </xf>
    <xf numFmtId="43" fontId="11" fillId="0" borderId="6" xfId="0" applyNumberFormat="1" applyFont="1" applyFill="1" applyBorder="1" applyAlignment="1">
      <alignment horizontal="center" wrapText="1"/>
    </xf>
    <xf numFmtId="0" fontId="4" fillId="3" borderId="3" xfId="2" applyFont="1" applyFill="1" applyBorder="1" applyAlignment="1">
      <alignment wrapText="1"/>
    </xf>
    <xf numFmtId="179" fontId="12" fillId="6" borderId="3" xfId="18" applyNumberFormat="1" applyFont="1" applyFill="1" applyBorder="1" applyAlignment="1">
      <alignment horizontal="center" wrapText="1"/>
    </xf>
    <xf numFmtId="0" fontId="11" fillId="3" borderId="3" xfId="2" applyFont="1" applyFill="1" applyBorder="1" applyAlignment="1">
      <alignment wrapText="1"/>
    </xf>
    <xf numFmtId="58" fontId="4" fillId="4" borderId="3" xfId="2" applyNumberFormat="1" applyFont="1" applyFill="1" applyBorder="1" applyAlignment="1">
      <alignment wrapText="1"/>
    </xf>
    <xf numFmtId="0" fontId="4" fillId="4" borderId="3" xfId="2" applyFont="1" applyFill="1" applyBorder="1" applyAlignment="1">
      <alignment wrapText="1"/>
    </xf>
    <xf numFmtId="9" fontId="4" fillId="4" borderId="3" xfId="1" applyFont="1" applyFill="1" applyBorder="1" applyAlignment="1">
      <alignment horizontal="center" wrapText="1"/>
    </xf>
    <xf numFmtId="176" fontId="11" fillId="0" borderId="0" xfId="0" applyNumberFormat="1" applyFont="1" applyAlignment="1">
      <alignment horizontal="center" vertical="center"/>
    </xf>
    <xf numFmtId="0" fontId="4" fillId="5" borderId="8" xfId="0" applyNumberFormat="1" applyFont="1" applyFill="1" applyBorder="1" applyAlignment="1" applyProtection="1">
      <alignment horizontal="center" wrapText="1"/>
    </xf>
    <xf numFmtId="43" fontId="4" fillId="5" borderId="3" xfId="3" applyNumberFormat="1" applyFont="1" applyFill="1" applyBorder="1" applyAlignment="1">
      <alignment wrapText="1"/>
    </xf>
    <xf numFmtId="0" fontId="4" fillId="4" borderId="3" xfId="2" applyFont="1" applyFill="1" applyBorder="1" applyAlignment="1">
      <alignment horizontal="center" wrapText="1"/>
    </xf>
    <xf numFmtId="43" fontId="4" fillId="0" borderId="6" xfId="3" applyNumberFormat="1" applyFont="1" applyFill="1" applyBorder="1" applyAlignment="1">
      <alignment horizontal="center" wrapText="1"/>
    </xf>
    <xf numFmtId="0" fontId="4" fillId="5" borderId="4" xfId="0" applyNumberFormat="1" applyFont="1" applyFill="1" applyBorder="1" applyAlignment="1" applyProtection="1">
      <alignment horizontal="center" wrapText="1"/>
    </xf>
    <xf numFmtId="43" fontId="4" fillId="0" borderId="3" xfId="18" applyNumberFormat="1" applyFont="1" applyFill="1" applyBorder="1" applyAlignment="1">
      <alignment horizontal="center" wrapText="1"/>
    </xf>
    <xf numFmtId="0" fontId="4" fillId="3" borderId="9" xfId="2" applyFont="1" applyFill="1" applyBorder="1" applyAlignment="1">
      <alignment horizontal="left" wrapText="1"/>
    </xf>
    <xf numFmtId="9" fontId="4" fillId="4" borderId="3" xfId="1" applyFont="1" applyFill="1" applyBorder="1" applyAlignment="1">
      <alignment horizontal="center"/>
    </xf>
    <xf numFmtId="0" fontId="4" fillId="5" borderId="10" xfId="0" applyNumberFormat="1" applyFont="1" applyFill="1" applyBorder="1" applyAlignment="1" applyProtection="1">
      <alignment horizontal="center" wrapText="1"/>
    </xf>
    <xf numFmtId="0" fontId="4" fillId="5" borderId="2" xfId="0" applyNumberFormat="1" applyFont="1" applyFill="1" applyBorder="1" applyAlignment="1" applyProtection="1">
      <alignment horizontal="center" wrapText="1"/>
    </xf>
    <xf numFmtId="43" fontId="4" fillId="0" borderId="3" xfId="0" applyNumberFormat="1" applyFont="1" applyBorder="1" applyAlignment="1">
      <alignment horizontal="center" wrapText="1"/>
    </xf>
    <xf numFmtId="0" fontId="6" fillId="0" borderId="4" xfId="0" applyNumberFormat="1" applyFont="1" applyFill="1" applyBorder="1" applyAlignment="1">
      <alignment horizontal="center" wrapText="1"/>
    </xf>
    <xf numFmtId="0" fontId="18" fillId="0" borderId="3" xfId="0" applyNumberFormat="1" applyFont="1" applyFill="1" applyBorder="1" applyAlignment="1">
      <alignment horizontal="center" wrapText="1"/>
    </xf>
    <xf numFmtId="0" fontId="9" fillId="5" borderId="6" xfId="3" applyFont="1" applyFill="1" applyBorder="1" applyAlignment="1">
      <alignment horizontal="center" wrapText="1"/>
    </xf>
    <xf numFmtId="0" fontId="15" fillId="5" borderId="3" xfId="0" applyNumberFormat="1" applyFont="1" applyFill="1" applyBorder="1" applyAlignment="1" applyProtection="1">
      <alignment horizontal="center" wrapText="1"/>
    </xf>
    <xf numFmtId="43" fontId="14" fillId="0" borderId="3" xfId="3" applyNumberFormat="1" applyFont="1" applyFill="1" applyBorder="1" applyAlignment="1">
      <alignment wrapText="1"/>
    </xf>
    <xf numFmtId="43" fontId="16" fillId="0" borderId="3" xfId="18" applyNumberFormat="1" applyFont="1" applyFill="1" applyBorder="1" applyAlignment="1">
      <alignment horizontal="center" wrapText="1"/>
    </xf>
    <xf numFmtId="179" fontId="9" fillId="6" borderId="3" xfId="18" applyNumberFormat="1" applyFont="1" applyFill="1" applyBorder="1" applyAlignment="1">
      <alignment horizontal="center" wrapText="1"/>
    </xf>
    <xf numFmtId="9" fontId="4" fillId="4" borderId="3" xfId="1" applyNumberFormat="1" applyFont="1" applyFill="1" applyBorder="1" applyAlignment="1">
      <alignment horizontal="center" wrapText="1"/>
    </xf>
    <xf numFmtId="58" fontId="4" fillId="4" borderId="3" xfId="2" applyNumberFormat="1" applyFont="1" applyFill="1" applyBorder="1" applyAlignment="1">
      <alignment horizontal="right" wrapText="1"/>
    </xf>
    <xf numFmtId="0" fontId="6" fillId="0" borderId="4" xfId="0" quotePrefix="1" applyNumberFormat="1" applyFont="1" applyFill="1" applyBorder="1" applyAlignment="1">
      <alignment horizontal="center" wrapText="1"/>
    </xf>
    <xf numFmtId="43" fontId="15" fillId="5" borderId="3" xfId="0" applyNumberFormat="1" applyFont="1" applyFill="1" applyBorder="1" applyAlignment="1" applyProtection="1">
      <alignment horizontal="center" wrapText="1"/>
    </xf>
    <xf numFmtId="43" fontId="15" fillId="5" borderId="3" xfId="3" applyNumberFormat="1" applyFont="1" applyFill="1" applyBorder="1" applyAlignment="1">
      <alignment wrapText="1"/>
    </xf>
    <xf numFmtId="43" fontId="15" fillId="0" borderId="3" xfId="3" applyNumberFormat="1" applyFont="1" applyFill="1" applyBorder="1" applyAlignment="1">
      <alignment wrapText="1"/>
    </xf>
    <xf numFmtId="58" fontId="4" fillId="4" borderId="3" xfId="2" applyNumberFormat="1" applyFont="1" applyFill="1" applyBorder="1" applyAlignment="1"/>
    <xf numFmtId="0" fontId="4" fillId="4" borderId="3" xfId="2" applyFont="1" applyFill="1" applyBorder="1" applyAlignment="1"/>
    <xf numFmtId="0" fontId="9" fillId="5" borderId="3" xfId="3" applyFont="1" applyFill="1" applyBorder="1" applyAlignment="1">
      <alignment horizontal="center" wrapText="1"/>
    </xf>
    <xf numFmtId="0" fontId="2" fillId="0" borderId="3" xfId="3" applyFont="1" applyFill="1" applyBorder="1" applyAlignment="1">
      <alignment horizontal="center"/>
    </xf>
    <xf numFmtId="0" fontId="4" fillId="0" borderId="4" xfId="0" applyNumberFormat="1" applyFont="1" applyFill="1" applyBorder="1" applyAlignment="1" applyProtection="1">
      <alignment horizontal="center" wrapText="1"/>
    </xf>
    <xf numFmtId="43" fontId="4" fillId="5" borderId="3" xfId="0" applyNumberFormat="1" applyFont="1" applyFill="1" applyBorder="1" applyAlignment="1" applyProtection="1">
      <alignment wrapText="1"/>
    </xf>
    <xf numFmtId="43" fontId="15" fillId="5" borderId="3" xfId="0" applyNumberFormat="1" applyFont="1" applyFill="1" applyBorder="1" applyAlignment="1" applyProtection="1">
      <alignment wrapText="1"/>
    </xf>
    <xf numFmtId="43" fontId="4" fillId="0" borderId="3" xfId="3" applyNumberFormat="1" applyFont="1" applyFill="1" applyBorder="1" applyAlignment="1">
      <alignment horizontal="left" wrapText="1"/>
    </xf>
    <xf numFmtId="0" fontId="25" fillId="0" borderId="3" xfId="0" applyNumberFormat="1" applyFont="1" applyFill="1" applyBorder="1" applyAlignment="1" applyProtection="1">
      <alignment horizontal="center" wrapText="1"/>
    </xf>
    <xf numFmtId="0" fontId="9" fillId="9" borderId="6" xfId="3" applyFont="1" applyFill="1" applyBorder="1" applyAlignment="1">
      <alignment horizontal="center" wrapText="1"/>
    </xf>
    <xf numFmtId="0" fontId="10" fillId="0" borderId="3" xfId="0" applyFont="1" applyBorder="1" applyAlignment="1">
      <alignment horizontal="center" vertical="center"/>
    </xf>
    <xf numFmtId="43" fontId="15" fillId="0" borderId="3" xfId="18" applyNumberFormat="1" applyFont="1" applyFill="1" applyBorder="1" applyAlignment="1">
      <alignment wrapText="1"/>
    </xf>
    <xf numFmtId="43" fontId="15" fillId="0" borderId="3" xfId="18" applyNumberFormat="1" applyFont="1" applyFill="1" applyBorder="1" applyAlignment="1">
      <alignment horizontal="center" wrapText="1"/>
    </xf>
    <xf numFmtId="0" fontId="4" fillId="8" borderId="4" xfId="0" applyNumberFormat="1" applyFont="1" applyFill="1" applyBorder="1" applyAlignment="1" applyProtection="1">
      <alignment horizontal="center" wrapText="1"/>
    </xf>
    <xf numFmtId="0" fontId="4" fillId="0" borderId="6" xfId="0" applyFont="1" applyFill="1" applyBorder="1" applyAlignment="1">
      <alignment horizontal="center" vertical="center"/>
    </xf>
    <xf numFmtId="0" fontId="9" fillId="0" borderId="6" xfId="3" applyFont="1" applyFill="1" applyBorder="1" applyAlignment="1">
      <alignment horizontal="center" wrapText="1"/>
    </xf>
    <xf numFmtId="0" fontId="15" fillId="0" borderId="3" xfId="0" applyNumberFormat="1" applyFont="1" applyFill="1" applyBorder="1" applyAlignment="1" applyProtection="1">
      <alignment horizontal="center" wrapText="1"/>
    </xf>
    <xf numFmtId="43" fontId="15" fillId="0" borderId="3" xfId="0" applyNumberFormat="1" applyFont="1" applyFill="1" applyBorder="1" applyAlignment="1" applyProtection="1">
      <alignment horizontal="center" wrapText="1"/>
    </xf>
    <xf numFmtId="43" fontId="15" fillId="0" borderId="3" xfId="0" applyNumberFormat="1" applyFont="1" applyFill="1" applyBorder="1" applyAlignment="1" applyProtection="1">
      <alignment wrapText="1"/>
    </xf>
    <xf numFmtId="43" fontId="15" fillId="0" borderId="6" xfId="0" applyNumberFormat="1" applyFont="1" applyFill="1" applyBorder="1" applyAlignment="1" applyProtection="1">
      <alignment wrapText="1"/>
    </xf>
    <xf numFmtId="0" fontId="11" fillId="10" borderId="3" xfId="2" applyFont="1" applyFill="1" applyBorder="1" applyAlignment="1">
      <alignment wrapText="1"/>
    </xf>
    <xf numFmtId="0" fontId="4" fillId="10" borderId="3" xfId="2" applyFont="1" applyFill="1" applyBorder="1" applyAlignment="1">
      <alignment wrapText="1"/>
    </xf>
    <xf numFmtId="179" fontId="9" fillId="0" borderId="3" xfId="18" applyNumberFormat="1" applyFont="1" applyFill="1" applyBorder="1" applyAlignment="1">
      <alignment horizontal="center" wrapText="1"/>
    </xf>
    <xf numFmtId="0" fontId="11" fillId="0" borderId="3" xfId="2" applyFont="1" applyFill="1" applyBorder="1" applyAlignment="1">
      <alignment wrapText="1"/>
    </xf>
    <xf numFmtId="58" fontId="4" fillId="0" borderId="3" xfId="2" applyNumberFormat="1" applyFont="1" applyFill="1" applyBorder="1" applyAlignment="1">
      <alignment horizontal="right" wrapText="1"/>
    </xf>
    <xf numFmtId="0" fontId="4" fillId="0" borderId="3" xfId="2" applyFont="1" applyFill="1" applyBorder="1" applyAlignment="1"/>
    <xf numFmtId="176" fontId="11" fillId="0" borderId="0" xfId="0" applyNumberFormat="1" applyFont="1" applyFill="1" applyAlignment="1">
      <alignment horizontal="center" vertical="center"/>
    </xf>
    <xf numFmtId="0" fontId="10" fillId="0" borderId="0" xfId="0" applyFont="1" applyFill="1" applyAlignment="1">
      <alignment horizontal="center" vertical="center"/>
    </xf>
    <xf numFmtId="0" fontId="6" fillId="7" borderId="4" xfId="0" applyNumberFormat="1" applyFont="1" applyFill="1" applyBorder="1" applyAlignment="1">
      <alignment horizontal="center" wrapText="1"/>
    </xf>
    <xf numFmtId="0" fontId="10" fillId="7" borderId="3" xfId="0" applyFont="1" applyFill="1" applyBorder="1" applyAlignment="1">
      <alignment horizontal="center" vertical="center"/>
    </xf>
    <xf numFmtId="43" fontId="15" fillId="7" borderId="3" xfId="0" applyNumberFormat="1" applyFont="1" applyFill="1" applyBorder="1" applyAlignment="1" applyProtection="1">
      <alignment wrapText="1"/>
    </xf>
    <xf numFmtId="43" fontId="16" fillId="7" borderId="3" xfId="18" applyNumberFormat="1" applyFont="1" applyFill="1" applyBorder="1" applyAlignment="1">
      <alignment horizontal="center" wrapText="1"/>
    </xf>
    <xf numFmtId="43" fontId="6" fillId="7" borderId="6" xfId="0" applyNumberFormat="1" applyFont="1" applyFill="1" applyBorder="1" applyAlignment="1">
      <alignment horizontal="center" wrapText="1"/>
    </xf>
    <xf numFmtId="0" fontId="4" fillId="7" borderId="3" xfId="2" applyFont="1" applyFill="1" applyBorder="1" applyAlignment="1">
      <alignment wrapText="1"/>
    </xf>
    <xf numFmtId="179" fontId="9" fillId="7" borderId="3" xfId="18" applyNumberFormat="1" applyFont="1" applyFill="1" applyBorder="1" applyAlignment="1">
      <alignment horizontal="center" wrapText="1"/>
    </xf>
    <xf numFmtId="0" fontId="11" fillId="7" borderId="3" xfId="2" applyFont="1" applyFill="1" applyBorder="1" applyAlignment="1">
      <alignment wrapText="1"/>
    </xf>
    <xf numFmtId="0" fontId="4" fillId="7" borderId="3" xfId="2" applyFont="1" applyFill="1" applyBorder="1" applyAlignment="1">
      <alignment horizontal="center" wrapText="1"/>
    </xf>
    <xf numFmtId="0" fontId="2" fillId="10" borderId="6" xfId="0" applyFont="1" applyFill="1" applyBorder="1" applyAlignment="1">
      <alignment horizontal="center" vertical="center"/>
    </xf>
    <xf numFmtId="0" fontId="2" fillId="10" borderId="4" xfId="0" applyNumberFormat="1" applyFont="1" applyFill="1" applyBorder="1" applyAlignment="1" applyProtection="1">
      <alignment horizontal="center" wrapText="1"/>
    </xf>
    <xf numFmtId="0" fontId="2" fillId="10" borderId="3" xfId="0" applyNumberFormat="1" applyFont="1" applyFill="1" applyBorder="1" applyAlignment="1" applyProtection="1">
      <alignment horizontal="center" wrapText="1"/>
    </xf>
    <xf numFmtId="0" fontId="2" fillId="10" borderId="6" xfId="3" applyFont="1" applyFill="1" applyBorder="1" applyAlignment="1">
      <alignment horizontal="center"/>
    </xf>
    <xf numFmtId="43" fontId="26" fillId="10" borderId="3" xfId="3" applyNumberFormat="1" applyFont="1" applyFill="1" applyBorder="1" applyAlignment="1">
      <alignment horizontal="center" wrapText="1"/>
    </xf>
    <xf numFmtId="43" fontId="26" fillId="10" borderId="3" xfId="3" applyNumberFormat="1" applyFont="1" applyFill="1" applyBorder="1" applyAlignment="1">
      <alignment wrapText="1"/>
    </xf>
    <xf numFmtId="0" fontId="10" fillId="10" borderId="3" xfId="2" applyFont="1" applyFill="1" applyBorder="1" applyAlignment="1">
      <alignment wrapText="1"/>
    </xf>
    <xf numFmtId="0" fontId="2" fillId="10" borderId="3" xfId="2" applyFont="1" applyFill="1" applyBorder="1" applyAlignment="1">
      <alignment wrapText="1"/>
    </xf>
    <xf numFmtId="179" fontId="27" fillId="10" borderId="3" xfId="18" applyNumberFormat="1" applyFont="1" applyFill="1" applyBorder="1" applyAlignment="1">
      <alignment horizontal="center" wrapText="1"/>
    </xf>
    <xf numFmtId="0" fontId="2" fillId="10" borderId="3" xfId="2" applyFont="1" applyFill="1" applyBorder="1" applyAlignment="1">
      <alignment horizontal="center" wrapText="1"/>
    </xf>
    <xf numFmtId="43" fontId="15" fillId="5" borderId="6" xfId="0" applyNumberFormat="1" applyFont="1" applyFill="1" applyBorder="1" applyAlignment="1" applyProtection="1">
      <alignment horizontal="center" wrapText="1"/>
    </xf>
    <xf numFmtId="9" fontId="4" fillId="0" borderId="3" xfId="1" applyFont="1" applyFill="1" applyBorder="1" applyAlignment="1">
      <alignment horizontal="center"/>
    </xf>
    <xf numFmtId="0" fontId="4" fillId="10" borderId="6" xfId="0" applyFont="1" applyFill="1" applyBorder="1" applyAlignment="1">
      <alignment horizontal="center" vertical="center"/>
    </xf>
    <xf numFmtId="0" fontId="8" fillId="10" borderId="4" xfId="0" applyNumberFormat="1" applyFont="1" applyFill="1" applyBorder="1" applyAlignment="1">
      <alignment horizontal="center" wrapText="1"/>
    </xf>
    <xf numFmtId="0" fontId="18" fillId="10" borderId="3" xfId="0" applyNumberFormat="1" applyFont="1" applyFill="1" applyBorder="1" applyAlignment="1">
      <alignment horizontal="center" wrapText="1"/>
    </xf>
    <xf numFmtId="0" fontId="9" fillId="10" borderId="6" xfId="3" applyFont="1" applyFill="1" applyBorder="1" applyAlignment="1">
      <alignment horizontal="center" wrapText="1"/>
    </xf>
    <xf numFmtId="0" fontId="15" fillId="10" borderId="3" xfId="0" applyNumberFormat="1" applyFont="1" applyFill="1" applyBorder="1" applyAlignment="1" applyProtection="1">
      <alignment horizontal="center" wrapText="1"/>
    </xf>
    <xf numFmtId="43" fontId="15" fillId="10" borderId="3" xfId="0" applyNumberFormat="1" applyFont="1" applyFill="1" applyBorder="1" applyAlignment="1" applyProtection="1">
      <alignment horizontal="center" wrapText="1"/>
    </xf>
    <xf numFmtId="43" fontId="15" fillId="10" borderId="3" xfId="0" applyNumberFormat="1" applyFont="1" applyFill="1" applyBorder="1" applyAlignment="1" applyProtection="1">
      <alignment wrapText="1"/>
    </xf>
    <xf numFmtId="179" fontId="9" fillId="10" borderId="3" xfId="18" applyNumberFormat="1" applyFont="1" applyFill="1" applyBorder="1" applyAlignment="1">
      <alignment horizontal="center" wrapText="1"/>
    </xf>
    <xf numFmtId="58" fontId="4" fillId="10" borderId="3" xfId="2" applyNumberFormat="1" applyFont="1" applyFill="1" applyBorder="1" applyAlignment="1">
      <alignment horizontal="right" wrapText="1"/>
    </xf>
    <xf numFmtId="0" fontId="4" fillId="10" borderId="3" xfId="2" applyFont="1" applyFill="1" applyBorder="1" applyAlignment="1"/>
    <xf numFmtId="9" fontId="4" fillId="10" borderId="3" xfId="1" applyFont="1" applyFill="1" applyBorder="1" applyAlignment="1">
      <alignment horizontal="center"/>
    </xf>
    <xf numFmtId="0" fontId="10" fillId="10" borderId="0" xfId="0" applyFont="1" applyFill="1" applyAlignment="1">
      <alignment horizontal="center" vertical="center"/>
    </xf>
    <xf numFmtId="0" fontId="4" fillId="10" borderId="3" xfId="0" applyFont="1" applyFill="1" applyBorder="1" applyAlignment="1">
      <alignment horizontal="center" wrapText="1"/>
    </xf>
    <xf numFmtId="0" fontId="4" fillId="10" borderId="3" xfId="0" applyNumberFormat="1" applyFont="1" applyFill="1" applyBorder="1" applyAlignment="1" applyProtection="1">
      <alignment horizontal="center" wrapText="1"/>
    </xf>
    <xf numFmtId="0" fontId="9" fillId="10" borderId="3" xfId="3" applyFont="1" applyFill="1" applyBorder="1" applyAlignment="1">
      <alignment horizontal="center" wrapText="1"/>
    </xf>
    <xf numFmtId="43" fontId="4" fillId="10" borderId="3" xfId="19" applyNumberFormat="1" applyFont="1" applyFill="1" applyBorder="1" applyAlignment="1" applyProtection="1">
      <alignment horizontal="center" wrapText="1"/>
    </xf>
    <xf numFmtId="43" fontId="4" fillId="10" borderId="3" xfId="19" applyNumberFormat="1" applyFont="1" applyFill="1" applyBorder="1" applyAlignment="1" applyProtection="1">
      <alignment wrapText="1"/>
    </xf>
    <xf numFmtId="10" fontId="4" fillId="10" borderId="3" xfId="6" applyNumberFormat="1" applyFont="1" applyFill="1" applyBorder="1" applyAlignment="1">
      <alignment wrapText="1"/>
    </xf>
    <xf numFmtId="0" fontId="4" fillId="0" borderId="0" xfId="0" applyFont="1" applyFill="1" applyBorder="1" applyAlignment="1">
      <alignment horizontal="center" wrapText="1"/>
    </xf>
    <xf numFmtId="0" fontId="4" fillId="0" borderId="0" xfId="0" applyNumberFormat="1" applyFont="1" applyFill="1" applyBorder="1" applyAlignment="1" applyProtection="1">
      <alignment horizontal="center" wrapText="1"/>
    </xf>
    <xf numFmtId="0" fontId="9" fillId="0" borderId="0" xfId="3" applyFont="1" applyFill="1" applyBorder="1" applyAlignment="1">
      <alignment horizontal="center" wrapText="1"/>
    </xf>
    <xf numFmtId="43" fontId="4" fillId="0" borderId="0" xfId="19" applyNumberFormat="1" applyFont="1" applyFill="1" applyBorder="1" applyAlignment="1" applyProtection="1">
      <alignment horizontal="center" wrapText="1"/>
    </xf>
    <xf numFmtId="43" fontId="4" fillId="0" borderId="0" xfId="19" applyNumberFormat="1" applyFont="1" applyFill="1" applyBorder="1" applyAlignment="1" applyProtection="1">
      <alignment wrapText="1"/>
    </xf>
    <xf numFmtId="43" fontId="9" fillId="0" borderId="0" xfId="19" applyNumberFormat="1" applyFont="1" applyFill="1" applyBorder="1" applyAlignment="1">
      <alignment horizontal="center" wrapText="1"/>
    </xf>
    <xf numFmtId="43" fontId="4" fillId="0" borderId="0" xfId="19" applyNumberFormat="1" applyFont="1" applyFill="1" applyBorder="1" applyAlignment="1">
      <alignment horizontal="center" wrapText="1"/>
    </xf>
    <xf numFmtId="0" fontId="4" fillId="0" borderId="0" xfId="2" applyFont="1" applyFill="1" applyBorder="1" applyAlignment="1">
      <alignment wrapText="1"/>
    </xf>
    <xf numFmtId="10" fontId="4" fillId="0" borderId="0" xfId="6" applyNumberFormat="1" applyFont="1" applyFill="1" applyBorder="1" applyAlignment="1">
      <alignment wrapText="1"/>
    </xf>
    <xf numFmtId="0" fontId="11" fillId="0" borderId="0" xfId="0" applyFont="1" applyFill="1">
      <alignment vertical="center"/>
    </xf>
    <xf numFmtId="0" fontId="20" fillId="0" borderId="0" xfId="2" applyFont="1" applyFill="1" applyBorder="1" applyAlignment="1">
      <alignment horizontal="left" vertical="center" wrapText="1"/>
    </xf>
    <xf numFmtId="0" fontId="6" fillId="0" borderId="0" xfId="0" applyFont="1" applyFill="1" applyAlignment="1">
      <alignment horizontal="center" vertical="center"/>
    </xf>
    <xf numFmtId="0" fontId="6" fillId="0" borderId="0" xfId="0" applyFont="1" applyFill="1" applyAlignment="1">
      <alignment vertical="center"/>
    </xf>
    <xf numFmtId="0" fontId="6" fillId="0" borderId="0" xfId="0" applyFont="1" applyAlignment="1">
      <alignment horizontal="center" vertical="center"/>
    </xf>
    <xf numFmtId="0" fontId="15" fillId="0" borderId="0" xfId="0" applyFont="1" applyAlignment="1">
      <alignment vertical="center"/>
    </xf>
    <xf numFmtId="0" fontId="0" fillId="0" borderId="0" xfId="0" applyAlignment="1">
      <alignment horizontal="center" vertical="center"/>
    </xf>
    <xf numFmtId="43" fontId="0" fillId="0" borderId="0" xfId="0" applyNumberFormat="1">
      <alignment vertical="center"/>
    </xf>
    <xf numFmtId="43" fontId="6" fillId="0" borderId="0" xfId="0" applyNumberFormat="1" applyFont="1" applyFill="1">
      <alignment vertical="center"/>
    </xf>
    <xf numFmtId="0" fontId="8" fillId="0" borderId="2" xfId="0" applyFont="1" applyFill="1" applyBorder="1" applyAlignment="1">
      <alignment horizontal="center" vertical="center" wrapText="1"/>
    </xf>
    <xf numFmtId="0" fontId="8" fillId="0" borderId="6" xfId="0" applyFont="1" applyFill="1" applyBorder="1" applyAlignment="1">
      <alignment horizontal="center" vertical="center" wrapText="1"/>
    </xf>
    <xf numFmtId="0" fontId="4" fillId="3" borderId="3" xfId="2" applyFont="1" applyFill="1" applyBorder="1" applyAlignment="1">
      <alignment horizontal="center" vertical="center"/>
    </xf>
    <xf numFmtId="0" fontId="4" fillId="4" borderId="3" xfId="2" applyFont="1" applyFill="1" applyBorder="1" applyAlignment="1">
      <alignment horizontal="center" vertical="center"/>
    </xf>
    <xf numFmtId="0" fontId="2" fillId="0" borderId="0" xfId="0" applyFont="1" applyBorder="1" applyAlignment="1">
      <alignment horizontal="center" vertical="center"/>
    </xf>
    <xf numFmtId="0" fontId="2" fillId="0" borderId="0" xfId="0" applyFont="1" applyFill="1" applyBorder="1" applyAlignment="1">
      <alignment horizontal="center" vertical="center"/>
    </xf>
    <xf numFmtId="0" fontId="4" fillId="0" borderId="1" xfId="0" applyFont="1" applyBorder="1" applyAlignment="1">
      <alignment horizontal="left" vertical="center"/>
    </xf>
    <xf numFmtId="0" fontId="4" fillId="0" borderId="1" xfId="0" applyFont="1" applyFill="1" applyBorder="1" applyAlignment="1">
      <alignment horizontal="left" vertical="center"/>
    </xf>
    <xf numFmtId="0" fontId="2" fillId="0" borderId="2" xfId="0" applyFont="1" applyBorder="1" applyAlignment="1">
      <alignment horizontal="center" vertical="center"/>
    </xf>
    <xf numFmtId="0" fontId="2" fillId="0" borderId="6" xfId="0" applyFont="1" applyBorder="1" applyAlignment="1">
      <alignment horizontal="center" vertical="center"/>
    </xf>
    <xf numFmtId="0" fontId="2" fillId="0" borderId="2" xfId="0" applyFont="1" applyFill="1" applyBorder="1" applyAlignment="1">
      <alignment horizontal="center" vertical="center" wrapText="1"/>
    </xf>
    <xf numFmtId="0" fontId="2" fillId="0" borderId="6" xfId="0" applyFont="1" applyFill="1" applyBorder="1" applyAlignment="1">
      <alignment horizontal="center" vertical="center" wrapText="1"/>
    </xf>
    <xf numFmtId="0" fontId="2" fillId="0" borderId="2" xfId="0" applyFont="1" applyBorder="1" applyAlignment="1">
      <alignment horizontal="center" vertical="center" wrapText="1"/>
    </xf>
    <xf numFmtId="0" fontId="2" fillId="0" borderId="6" xfId="0" applyFont="1" applyBorder="1" applyAlignment="1">
      <alignment horizontal="center" vertical="center" wrapText="1"/>
    </xf>
    <xf numFmtId="0" fontId="2" fillId="0" borderId="2" xfId="3" applyFont="1" applyFill="1" applyBorder="1" applyAlignment="1">
      <alignment horizontal="center" vertical="center"/>
    </xf>
    <xf numFmtId="0" fontId="2" fillId="0" borderId="6" xfId="3" applyFont="1" applyFill="1" applyBorder="1" applyAlignment="1">
      <alignment horizontal="center" vertical="center"/>
    </xf>
    <xf numFmtId="178" fontId="2" fillId="0" borderId="2" xfId="3" applyNumberFormat="1" applyFont="1" applyFill="1" applyBorder="1" applyAlignment="1">
      <alignment horizontal="center" vertical="center"/>
    </xf>
    <xf numFmtId="178" fontId="2" fillId="0" borderId="6" xfId="3" applyNumberFormat="1" applyFont="1" applyFill="1" applyBorder="1" applyAlignment="1">
      <alignment horizontal="center" vertical="center"/>
    </xf>
    <xf numFmtId="178" fontId="2" fillId="0" borderId="2" xfId="3" applyNumberFormat="1" applyFont="1" applyFill="1" applyBorder="1" applyAlignment="1">
      <alignment horizontal="center" vertical="center" wrapText="1"/>
    </xf>
    <xf numFmtId="178" fontId="2" fillId="0" borderId="6" xfId="3" applyNumberFormat="1" applyFont="1" applyFill="1" applyBorder="1" applyAlignment="1">
      <alignment horizontal="center" vertical="center" wrapText="1"/>
    </xf>
    <xf numFmtId="0" fontId="16" fillId="0" borderId="3" xfId="0" applyFont="1" applyBorder="1" applyAlignment="1">
      <alignment horizontal="center" vertical="center"/>
    </xf>
    <xf numFmtId="0" fontId="8" fillId="2" borderId="2" xfId="0" applyFont="1" applyFill="1" applyBorder="1" applyAlignment="1">
      <alignment horizontal="center" vertical="center" wrapText="1"/>
    </xf>
    <xf numFmtId="0" fontId="8" fillId="2" borderId="6" xfId="0" applyFont="1" applyFill="1" applyBorder="1" applyAlignment="1">
      <alignment horizontal="center" vertical="center" wrapText="1"/>
    </xf>
    <xf numFmtId="0" fontId="20" fillId="0" borderId="0" xfId="2" applyFont="1" applyFill="1" applyBorder="1" applyAlignment="1">
      <alignment horizontal="left" vertical="center"/>
    </xf>
    <xf numFmtId="0" fontId="8" fillId="0" borderId="4" xfId="0" applyFont="1" applyBorder="1" applyAlignment="1">
      <alignment horizontal="center" vertical="center" wrapText="1"/>
    </xf>
    <xf numFmtId="0" fontId="8" fillId="0" borderId="5" xfId="0" applyFont="1" applyBorder="1" applyAlignment="1">
      <alignment horizontal="center" vertical="center" wrapText="1"/>
    </xf>
    <xf numFmtId="0" fontId="8" fillId="0" borderId="3" xfId="0" applyFont="1" applyBorder="1" applyAlignment="1">
      <alignment horizontal="center" vertical="center"/>
    </xf>
    <xf numFmtId="0" fontId="20" fillId="0" borderId="0" xfId="2" applyFont="1" applyFill="1" applyBorder="1" applyAlignment="1">
      <alignment horizontal="left" vertical="center" wrapText="1"/>
    </xf>
  </cellXfs>
  <cellStyles count="20">
    <cellStyle name="百分比" xfId="1" builtinId="5"/>
    <cellStyle name="百分比 2" xfId="6"/>
    <cellStyle name="常规" xfId="0" builtinId="0"/>
    <cellStyle name="常规 10" xfId="7"/>
    <cellStyle name="常规 12" xfId="8"/>
    <cellStyle name="常规 18" xfId="9"/>
    <cellStyle name="常规 19" xfId="10"/>
    <cellStyle name="常规 2" xfId="2"/>
    <cellStyle name="常规 3 2" xfId="3"/>
    <cellStyle name="常规 4" xfId="11"/>
    <cellStyle name="常规 5" xfId="12"/>
    <cellStyle name="常规 6" xfId="13"/>
    <cellStyle name="常规 7" xfId="14"/>
    <cellStyle name="常规 8" xfId="15"/>
    <cellStyle name="常规 9" xfId="16"/>
    <cellStyle name="千位分隔 2" xfId="4"/>
    <cellStyle name="千位分隔 2 2" xfId="18"/>
    <cellStyle name="千位分隔 3" xfId="5"/>
    <cellStyle name="千位分隔 4" xfId="19"/>
    <cellStyle name="样式 1" xfId="17"/>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r:id="rId1"/>
</file>

<file path=xl/drawings/_rels/vmlDrawing3.vml.rels><?xml version="1.0" encoding="UTF-8" standalone="yes"?>
<Relationships xmlns="http://schemas.openxmlformats.org/package/2006/relationships"><Relationship Id="rId1" Type="http://schemas.openxmlformats.org/officeDocument/2006/relationships/image" Target="../media/image1.emf"/></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control" Target="../activeX/activeX1.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sheetPr codeName="Sheet2"/>
  <dimension ref="A1:W82"/>
  <sheetViews>
    <sheetView zoomScaleNormal="100" workbookViewId="0">
      <pane xSplit="2" ySplit="4" topLeftCell="J5" activePane="bottomRight" state="frozen"/>
      <selection pane="topRight" activeCell="C1" sqref="C1"/>
      <selection pane="bottomLeft" activeCell="A5" sqref="A5"/>
      <selection pane="bottomRight" activeCell="A76" sqref="A76:N76"/>
    </sheetView>
  </sheetViews>
  <sheetFormatPr defaultColWidth="7.75" defaultRowHeight="20.100000000000001" customHeight="1"/>
  <cols>
    <col min="1" max="1" width="4.75" style="2" customWidth="1"/>
    <col min="2" max="2" width="33.5" style="95" customWidth="1"/>
    <col min="3" max="3" width="9.375" style="98" customWidth="1"/>
    <col min="4" max="4" width="6.75" style="2" customWidth="1"/>
    <col min="5" max="5" width="4.625" style="2" customWidth="1"/>
    <col min="6" max="6" width="13.75" style="223" customWidth="1"/>
    <col min="7" max="7" width="16" style="224" customWidth="1"/>
    <col min="8" max="8" width="11.125" style="102" customWidth="1"/>
    <col min="9" max="9" width="10.5" style="5" customWidth="1"/>
    <col min="10" max="10" width="11.125" style="2" customWidth="1"/>
    <col min="11" max="11" width="10.5" style="2" customWidth="1"/>
    <col min="12" max="12" width="11.375" style="2" customWidth="1"/>
    <col min="13" max="13" width="12.125" style="2" customWidth="1"/>
    <col min="14" max="14" width="10.125" style="5" customWidth="1"/>
    <col min="15" max="15" width="14.125" style="5" customWidth="1"/>
    <col min="16" max="16" width="24.75" style="99" hidden="1" customWidth="1"/>
    <col min="17" max="17" width="10.375" style="99" hidden="1" customWidth="1"/>
    <col min="18" max="18" width="9.75" style="99" customWidth="1"/>
    <col min="19" max="19" width="9.375" style="99" customWidth="1"/>
    <col min="20" max="20" width="9.875" style="99" customWidth="1"/>
    <col min="21" max="21" width="16.625" style="99" customWidth="1"/>
    <col min="22" max="22" width="8.75" style="99" customWidth="1"/>
    <col min="23" max="23" width="12.5" style="2" customWidth="1"/>
    <col min="24" max="16384" width="7.75" style="2"/>
  </cols>
  <sheetData>
    <row r="1" spans="1:23" ht="20.100000000000001" customHeight="1">
      <c r="A1" s="232" t="s">
        <v>0</v>
      </c>
      <c r="B1" s="233"/>
      <c r="C1" s="232"/>
      <c r="D1" s="232"/>
      <c r="E1" s="232"/>
      <c r="F1" s="232"/>
      <c r="G1" s="232"/>
      <c r="H1" s="232"/>
      <c r="I1" s="232"/>
      <c r="J1" s="232"/>
      <c r="K1" s="232"/>
      <c r="L1" s="232"/>
      <c r="M1" s="232"/>
      <c r="N1" s="232"/>
      <c r="O1" s="232"/>
      <c r="P1" s="232"/>
      <c r="Q1" s="232"/>
      <c r="R1" s="232"/>
      <c r="S1" s="232"/>
      <c r="T1" s="232"/>
      <c r="U1" s="232"/>
      <c r="V1" s="1"/>
    </row>
    <row r="2" spans="1:23" ht="20.100000000000001" customHeight="1">
      <c r="A2" s="234" t="s">
        <v>103</v>
      </c>
      <c r="B2" s="235"/>
      <c r="C2" s="234"/>
      <c r="D2" s="234"/>
      <c r="E2" s="234"/>
      <c r="F2" s="100"/>
      <c r="G2" s="101"/>
      <c r="J2" s="2" t="s">
        <v>104</v>
      </c>
      <c r="K2" s="6"/>
      <c r="L2" s="7"/>
      <c r="M2" s="7"/>
      <c r="N2" s="8"/>
      <c r="O2" s="8"/>
      <c r="P2" s="9"/>
      <c r="Q2" s="9"/>
      <c r="R2" s="9"/>
      <c r="S2" s="9"/>
      <c r="T2" s="9"/>
      <c r="U2" s="9"/>
      <c r="V2" s="9"/>
    </row>
    <row r="3" spans="1:23" s="10" customFormat="1" ht="20.100000000000001" customHeight="1">
      <c r="A3" s="236" t="s">
        <v>3</v>
      </c>
      <c r="B3" s="238" t="s">
        <v>105</v>
      </c>
      <c r="C3" s="240" t="s">
        <v>106</v>
      </c>
      <c r="D3" s="242" t="s">
        <v>6</v>
      </c>
      <c r="E3" s="244" t="s">
        <v>107</v>
      </c>
      <c r="F3" s="246" t="s">
        <v>108</v>
      </c>
      <c r="G3" s="248" t="s">
        <v>109</v>
      </c>
      <c r="H3" s="248"/>
      <c r="I3" s="249" t="s">
        <v>110</v>
      </c>
      <c r="J3" s="252" t="s">
        <v>111</v>
      </c>
      <c r="K3" s="253"/>
      <c r="L3" s="252" t="s">
        <v>112</v>
      </c>
      <c r="M3" s="253"/>
      <c r="N3" s="249" t="s">
        <v>113</v>
      </c>
      <c r="O3" s="228" t="s">
        <v>114</v>
      </c>
      <c r="P3" s="230" t="s">
        <v>115</v>
      </c>
      <c r="Q3" s="230"/>
      <c r="R3" s="230"/>
      <c r="S3" s="230"/>
      <c r="T3" s="231" t="s">
        <v>116</v>
      </c>
      <c r="U3" s="231"/>
      <c r="V3" s="231"/>
    </row>
    <row r="4" spans="1:23" s="10" customFormat="1" ht="20.100000000000001" customHeight="1">
      <c r="A4" s="237"/>
      <c r="B4" s="239"/>
      <c r="C4" s="241"/>
      <c r="D4" s="243"/>
      <c r="E4" s="245"/>
      <c r="F4" s="247"/>
      <c r="G4" s="103" t="s">
        <v>117</v>
      </c>
      <c r="H4" s="104" t="s">
        <v>118</v>
      </c>
      <c r="I4" s="250"/>
      <c r="J4" s="104" t="s">
        <v>117</v>
      </c>
      <c r="K4" s="104" t="s">
        <v>118</v>
      </c>
      <c r="L4" s="104" t="s">
        <v>117</v>
      </c>
      <c r="M4" s="104" t="s">
        <v>118</v>
      </c>
      <c r="N4" s="250"/>
      <c r="O4" s="229"/>
      <c r="P4" s="12" t="s">
        <v>119</v>
      </c>
      <c r="Q4" s="12" t="s">
        <v>120</v>
      </c>
      <c r="R4" s="13" t="s">
        <v>121</v>
      </c>
      <c r="S4" s="13" t="s">
        <v>122</v>
      </c>
      <c r="T4" s="14" t="s">
        <v>123</v>
      </c>
      <c r="U4" s="14" t="s">
        <v>124</v>
      </c>
      <c r="V4" s="15" t="s">
        <v>125</v>
      </c>
    </row>
    <row r="5" spans="1:23" s="33" customFormat="1" ht="20.100000000000001" customHeight="1">
      <c r="A5" s="16">
        <v>1</v>
      </c>
      <c r="B5" s="105" t="s">
        <v>126</v>
      </c>
      <c r="C5" s="18" t="s">
        <v>127</v>
      </c>
      <c r="D5" s="106"/>
      <c r="E5" s="18" t="s">
        <v>128</v>
      </c>
      <c r="F5" s="107"/>
      <c r="G5" s="108">
        <v>-62.5</v>
      </c>
      <c r="H5" s="25"/>
      <c r="I5" s="109" t="str">
        <f t="shared" ref="I5:I54" si="0">IF((G5+H5-U5)*0.01&gt;0,(G5+H5-U5)*0.01,"")</f>
        <v/>
      </c>
      <c r="J5" s="110"/>
      <c r="K5" s="110"/>
      <c r="L5" s="25"/>
      <c r="M5" s="22"/>
      <c r="N5" s="109">
        <f t="shared" ref="N5:N52" si="1">(J5+K5+L5+M5)*0.015</f>
        <v>0</v>
      </c>
      <c r="O5" s="111">
        <f t="shared" ref="O5:O59" si="2">G5+H5+J5+K5+L5+M5</f>
        <v>-62.5</v>
      </c>
      <c r="P5" s="112" t="s">
        <v>129</v>
      </c>
      <c r="Q5" s="112"/>
      <c r="R5" s="113" t="s">
        <v>130</v>
      </c>
      <c r="S5" s="114"/>
      <c r="T5" s="115"/>
      <c r="U5" s="116"/>
      <c r="V5" s="117"/>
      <c r="W5" s="118"/>
    </row>
    <row r="6" spans="1:23" s="33" customFormat="1" ht="20.100000000000001" customHeight="1">
      <c r="A6" s="16">
        <v>2</v>
      </c>
      <c r="B6" s="119" t="s">
        <v>131</v>
      </c>
      <c r="C6" s="18" t="s">
        <v>127</v>
      </c>
      <c r="D6" s="106"/>
      <c r="E6" s="18" t="s">
        <v>128</v>
      </c>
      <c r="F6" s="107"/>
      <c r="G6" s="120">
        <v>4538.72</v>
      </c>
      <c r="H6" s="25"/>
      <c r="I6" s="109">
        <f t="shared" si="0"/>
        <v>45.3872</v>
      </c>
      <c r="J6" s="110"/>
      <c r="K6" s="110"/>
      <c r="L6" s="22">
        <v>6330.35</v>
      </c>
      <c r="M6" s="22"/>
      <c r="N6" s="109">
        <f t="shared" si="1"/>
        <v>94.955250000000007</v>
      </c>
      <c r="O6" s="111">
        <f t="shared" si="2"/>
        <v>10869.07</v>
      </c>
      <c r="P6" s="112" t="s">
        <v>132</v>
      </c>
      <c r="Q6" s="112"/>
      <c r="R6" s="113" t="s">
        <v>130</v>
      </c>
      <c r="S6" s="114"/>
      <c r="T6" s="115"/>
      <c r="U6" s="116"/>
      <c r="V6" s="117">
        <f>U6/O6</f>
        <v>0</v>
      </c>
      <c r="W6" s="118"/>
    </row>
    <row r="7" spans="1:23" s="33" customFormat="1" ht="20.100000000000001" customHeight="1">
      <c r="A7" s="16">
        <v>3</v>
      </c>
      <c r="B7" s="119" t="s">
        <v>133</v>
      </c>
      <c r="C7" s="18" t="s">
        <v>127</v>
      </c>
      <c r="D7" s="106"/>
      <c r="E7" s="18" t="s">
        <v>134</v>
      </c>
      <c r="F7" s="107"/>
      <c r="G7" s="108"/>
      <c r="H7" s="25"/>
      <c r="I7" s="109" t="str">
        <f t="shared" si="0"/>
        <v/>
      </c>
      <c r="J7" s="110"/>
      <c r="K7" s="110"/>
      <c r="L7" s="22"/>
      <c r="M7" s="25">
        <v>4267.2</v>
      </c>
      <c r="N7" s="109">
        <f>(J7+K7+L7+M7)*0.015</f>
        <v>64.007999999999996</v>
      </c>
      <c r="O7" s="111">
        <f t="shared" si="2"/>
        <v>4267.2</v>
      </c>
      <c r="P7" s="112" t="s">
        <v>135</v>
      </c>
      <c r="Q7" s="112"/>
      <c r="R7" s="113" t="s">
        <v>130</v>
      </c>
      <c r="S7" s="114"/>
      <c r="T7" s="116"/>
      <c r="U7" s="116"/>
      <c r="V7" s="121"/>
      <c r="W7" s="118"/>
    </row>
    <row r="8" spans="1:23" s="33" customFormat="1" ht="20.100000000000001" customHeight="1">
      <c r="A8" s="16">
        <v>4</v>
      </c>
      <c r="B8" s="119" t="s">
        <v>136</v>
      </c>
      <c r="C8" s="18" t="s">
        <v>127</v>
      </c>
      <c r="D8" s="106"/>
      <c r="E8" s="18" t="s">
        <v>137</v>
      </c>
      <c r="F8" s="122"/>
      <c r="G8" s="108"/>
      <c r="H8" s="108"/>
      <c r="I8" s="109" t="str">
        <f t="shared" si="0"/>
        <v/>
      </c>
      <c r="J8" s="110"/>
      <c r="K8" s="110"/>
      <c r="L8" s="36"/>
      <c r="M8" s="25">
        <v>194.98</v>
      </c>
      <c r="N8" s="109">
        <f t="shared" si="1"/>
        <v>2.9246999999999996</v>
      </c>
      <c r="O8" s="111">
        <f t="shared" si="2"/>
        <v>194.98</v>
      </c>
      <c r="P8" s="112" t="s">
        <v>138</v>
      </c>
      <c r="Q8" s="112"/>
      <c r="R8" s="113" t="s">
        <v>130</v>
      </c>
      <c r="S8" s="114"/>
      <c r="T8" s="116"/>
      <c r="U8" s="116"/>
      <c r="V8" s="121"/>
      <c r="W8" s="118"/>
    </row>
    <row r="9" spans="1:23" s="33" customFormat="1" ht="20.100000000000001" customHeight="1">
      <c r="A9" s="16">
        <v>5</v>
      </c>
      <c r="B9" s="119" t="s">
        <v>139</v>
      </c>
      <c r="C9" s="18" t="s">
        <v>127</v>
      </c>
      <c r="D9" s="106"/>
      <c r="E9" s="18" t="s">
        <v>128</v>
      </c>
      <c r="F9" s="107"/>
      <c r="G9" s="108"/>
      <c r="H9" s="25"/>
      <c r="I9" s="109" t="str">
        <f t="shared" si="0"/>
        <v/>
      </c>
      <c r="J9" s="110"/>
      <c r="K9" s="110"/>
      <c r="L9" s="25">
        <v>0</v>
      </c>
      <c r="M9" s="22">
        <v>1023.19</v>
      </c>
      <c r="N9" s="109">
        <f t="shared" si="1"/>
        <v>15.347850000000001</v>
      </c>
      <c r="O9" s="111">
        <f t="shared" si="2"/>
        <v>1023.19</v>
      </c>
      <c r="P9" s="112" t="s">
        <v>140</v>
      </c>
      <c r="Q9" s="112"/>
      <c r="R9" s="113" t="s">
        <v>130</v>
      </c>
      <c r="S9" s="114"/>
      <c r="T9" s="115"/>
      <c r="U9" s="116"/>
      <c r="V9" s="117">
        <f>U9/O9</f>
        <v>0</v>
      </c>
      <c r="W9" s="118"/>
    </row>
    <row r="10" spans="1:23" s="33" customFormat="1" ht="20.100000000000001" customHeight="1">
      <c r="A10" s="16">
        <v>6</v>
      </c>
      <c r="B10" s="123" t="s">
        <v>141</v>
      </c>
      <c r="C10" s="18" t="s">
        <v>127</v>
      </c>
      <c r="D10" s="106"/>
      <c r="E10" s="18" t="s">
        <v>142</v>
      </c>
      <c r="F10" s="82">
        <v>0</v>
      </c>
      <c r="G10" s="108">
        <v>9000</v>
      </c>
      <c r="H10" s="124"/>
      <c r="I10" s="109">
        <f t="shared" si="0"/>
        <v>90</v>
      </c>
      <c r="J10" s="110"/>
      <c r="K10" s="110"/>
      <c r="L10" s="124"/>
      <c r="M10" s="124"/>
      <c r="N10" s="109">
        <f t="shared" si="1"/>
        <v>0</v>
      </c>
      <c r="O10" s="111">
        <f t="shared" si="2"/>
        <v>9000</v>
      </c>
      <c r="P10" s="125"/>
      <c r="Q10" s="112"/>
      <c r="R10" s="113" t="s">
        <v>143</v>
      </c>
      <c r="S10" s="114" t="s">
        <v>144</v>
      </c>
      <c r="T10" s="115"/>
      <c r="U10" s="116"/>
      <c r="V10" s="117">
        <f>U10/O10</f>
        <v>0</v>
      </c>
      <c r="W10" s="118"/>
    </row>
    <row r="11" spans="1:23" s="33" customFormat="1" ht="20.100000000000001" customHeight="1">
      <c r="A11" s="16">
        <v>7</v>
      </c>
      <c r="B11" s="123" t="s">
        <v>145</v>
      </c>
      <c r="C11" s="18" t="s">
        <v>127</v>
      </c>
      <c r="D11" s="106"/>
      <c r="E11" s="18" t="s">
        <v>146</v>
      </c>
      <c r="F11" s="22"/>
      <c r="G11" s="108"/>
      <c r="H11" s="25"/>
      <c r="I11" s="109" t="str">
        <f t="shared" si="0"/>
        <v/>
      </c>
      <c r="J11" s="110"/>
      <c r="K11" s="110"/>
      <c r="L11" s="22"/>
      <c r="M11" s="22">
        <v>5611.04</v>
      </c>
      <c r="N11" s="109">
        <f t="shared" si="1"/>
        <v>84.165599999999998</v>
      </c>
      <c r="O11" s="111">
        <f t="shared" si="2"/>
        <v>5611.04</v>
      </c>
      <c r="P11" s="112" t="s">
        <v>147</v>
      </c>
      <c r="Q11" s="112"/>
      <c r="R11" s="113" t="s">
        <v>130</v>
      </c>
      <c r="S11" s="114"/>
      <c r="T11" s="115"/>
      <c r="U11" s="116"/>
      <c r="V11" s="126"/>
      <c r="W11" s="118"/>
    </row>
    <row r="12" spans="1:23" s="33" customFormat="1" ht="20.100000000000001" customHeight="1">
      <c r="A12" s="16">
        <v>8</v>
      </c>
      <c r="B12" s="123" t="s">
        <v>148</v>
      </c>
      <c r="C12" s="18" t="s">
        <v>127</v>
      </c>
      <c r="D12" s="106"/>
      <c r="E12" s="18" t="s">
        <v>146</v>
      </c>
      <c r="F12" s="22">
        <v>8957.1200000000008</v>
      </c>
      <c r="G12" s="108">
        <v>0</v>
      </c>
      <c r="H12" s="25"/>
      <c r="I12" s="109" t="str">
        <f t="shared" si="0"/>
        <v/>
      </c>
      <c r="J12" s="110"/>
      <c r="K12" s="110"/>
      <c r="L12" s="22">
        <v>18328</v>
      </c>
      <c r="M12" s="22"/>
      <c r="N12" s="109">
        <f t="shared" si="1"/>
        <v>274.92</v>
      </c>
      <c r="O12" s="111">
        <f t="shared" si="2"/>
        <v>18328</v>
      </c>
      <c r="P12" s="112" t="s">
        <v>147</v>
      </c>
      <c r="Q12" s="112"/>
      <c r="R12" s="113" t="s">
        <v>149</v>
      </c>
      <c r="S12" s="114"/>
      <c r="T12" s="115"/>
      <c r="U12" s="116"/>
      <c r="V12" s="117"/>
      <c r="W12" s="118"/>
    </row>
    <row r="13" spans="1:23" s="33" customFormat="1" ht="20.100000000000001" customHeight="1">
      <c r="A13" s="16">
        <v>9</v>
      </c>
      <c r="B13" s="123" t="s">
        <v>145</v>
      </c>
      <c r="C13" s="18" t="s">
        <v>127</v>
      </c>
      <c r="D13" s="106"/>
      <c r="E13" s="18" t="s">
        <v>146</v>
      </c>
      <c r="F13" s="22">
        <v>71538.34</v>
      </c>
      <c r="G13" s="108">
        <v>82251.56</v>
      </c>
      <c r="H13" s="25">
        <v>1200</v>
      </c>
      <c r="I13" s="109">
        <f t="shared" si="0"/>
        <v>502.00059999999996</v>
      </c>
      <c r="J13" s="110"/>
      <c r="K13" s="110"/>
      <c r="L13" s="22">
        <v>47910.7</v>
      </c>
      <c r="M13" s="22"/>
      <c r="N13" s="109">
        <f t="shared" si="1"/>
        <v>718.66049999999996</v>
      </c>
      <c r="O13" s="111">
        <f t="shared" si="2"/>
        <v>131362.26</v>
      </c>
      <c r="P13" s="112" t="s">
        <v>147</v>
      </c>
      <c r="Q13" s="112"/>
      <c r="R13" s="113" t="s">
        <v>149</v>
      </c>
      <c r="S13" s="114"/>
      <c r="T13" s="115">
        <v>42677</v>
      </c>
      <c r="U13" s="116">
        <v>33251.5</v>
      </c>
      <c r="V13" s="117">
        <f>U13/O13</f>
        <v>0.25312825768984182</v>
      </c>
      <c r="W13" s="118"/>
    </row>
    <row r="14" spans="1:23" s="33" customFormat="1" ht="20.100000000000001" customHeight="1">
      <c r="A14" s="16">
        <v>10</v>
      </c>
      <c r="B14" s="123" t="s">
        <v>150</v>
      </c>
      <c r="C14" s="18" t="s">
        <v>127</v>
      </c>
      <c r="D14" s="106"/>
      <c r="E14" s="18" t="s">
        <v>151</v>
      </c>
      <c r="F14" s="25"/>
      <c r="G14" s="108">
        <v>2358.4499999999998</v>
      </c>
      <c r="H14" s="25"/>
      <c r="I14" s="109">
        <f t="shared" si="0"/>
        <v>23.584499999999998</v>
      </c>
      <c r="J14" s="124"/>
      <c r="K14" s="110"/>
      <c r="L14" s="25">
        <v>-47.2</v>
      </c>
      <c r="M14" s="25">
        <v>0</v>
      </c>
      <c r="N14" s="109"/>
      <c r="O14" s="111">
        <f t="shared" si="2"/>
        <v>2311.25</v>
      </c>
      <c r="P14" s="112" t="s">
        <v>152</v>
      </c>
      <c r="Q14" s="112"/>
      <c r="R14" s="113" t="s">
        <v>153</v>
      </c>
      <c r="S14" s="114"/>
      <c r="T14" s="115"/>
      <c r="U14" s="116"/>
      <c r="V14" s="117">
        <f>U14/O14</f>
        <v>0</v>
      </c>
    </row>
    <row r="15" spans="1:23" s="33" customFormat="1" ht="20.100000000000001" customHeight="1">
      <c r="A15" s="16">
        <v>11</v>
      </c>
      <c r="B15" s="127" t="s">
        <v>154</v>
      </c>
      <c r="C15" s="18" t="s">
        <v>127</v>
      </c>
      <c r="D15" s="106"/>
      <c r="E15" s="128" t="s">
        <v>142</v>
      </c>
      <c r="F15" s="22">
        <v>-492.5</v>
      </c>
      <c r="G15" s="108">
        <v>0.1</v>
      </c>
      <c r="H15" s="25"/>
      <c r="I15" s="109">
        <f t="shared" si="0"/>
        <v>1E-3</v>
      </c>
      <c r="J15" s="110"/>
      <c r="K15" s="110"/>
      <c r="L15" s="25"/>
      <c r="M15" s="25"/>
      <c r="N15" s="109">
        <f t="shared" si="1"/>
        <v>0</v>
      </c>
      <c r="O15" s="111">
        <f t="shared" si="2"/>
        <v>0.1</v>
      </c>
      <c r="P15" s="112" t="s">
        <v>155</v>
      </c>
      <c r="Q15" s="112"/>
      <c r="R15" s="113" t="s">
        <v>153</v>
      </c>
      <c r="S15" s="114"/>
      <c r="T15" s="116"/>
      <c r="U15" s="116"/>
      <c r="V15" s="121"/>
      <c r="W15" s="118"/>
    </row>
    <row r="16" spans="1:23" s="33" customFormat="1" ht="20.100000000000001" customHeight="1">
      <c r="A16" s="16">
        <v>12</v>
      </c>
      <c r="B16" s="123" t="s">
        <v>156</v>
      </c>
      <c r="C16" s="18" t="s">
        <v>127</v>
      </c>
      <c r="D16" s="106"/>
      <c r="E16" s="128" t="s">
        <v>142</v>
      </c>
      <c r="F16" s="82">
        <v>0</v>
      </c>
      <c r="G16" s="108">
        <v>0</v>
      </c>
      <c r="H16" s="25">
        <v>6.73</v>
      </c>
      <c r="I16" s="109">
        <f t="shared" si="0"/>
        <v>6.7300000000000013E-2</v>
      </c>
      <c r="J16" s="110"/>
      <c r="K16" s="110"/>
      <c r="L16" s="25"/>
      <c r="M16" s="25"/>
      <c r="N16" s="109">
        <f t="shared" si="1"/>
        <v>0</v>
      </c>
      <c r="O16" s="111">
        <f t="shared" si="2"/>
        <v>6.73</v>
      </c>
      <c r="P16" s="112" t="s">
        <v>157</v>
      </c>
      <c r="Q16" s="112"/>
      <c r="R16" s="113" t="s">
        <v>158</v>
      </c>
      <c r="S16" s="114"/>
      <c r="T16" s="115"/>
      <c r="U16" s="116"/>
      <c r="V16" s="117">
        <f>U16/O16</f>
        <v>0</v>
      </c>
      <c r="W16" s="118"/>
    </row>
    <row r="17" spans="1:23" s="33" customFormat="1" ht="20.100000000000001" customHeight="1">
      <c r="A17" s="16">
        <v>13</v>
      </c>
      <c r="B17" s="123" t="s">
        <v>159</v>
      </c>
      <c r="C17" s="18" t="s">
        <v>127</v>
      </c>
      <c r="D17" s="106"/>
      <c r="E17" s="18" t="s">
        <v>142</v>
      </c>
      <c r="F17" s="22">
        <v>2103.1999999999998</v>
      </c>
      <c r="G17" s="108">
        <v>-0.5</v>
      </c>
      <c r="H17" s="25"/>
      <c r="I17" s="109" t="str">
        <f t="shared" si="0"/>
        <v/>
      </c>
      <c r="J17" s="124"/>
      <c r="K17" s="110"/>
      <c r="L17" s="25"/>
      <c r="M17" s="25"/>
      <c r="N17" s="109">
        <f t="shared" si="1"/>
        <v>0</v>
      </c>
      <c r="O17" s="111">
        <f t="shared" si="2"/>
        <v>-0.5</v>
      </c>
      <c r="P17" s="112" t="s">
        <v>160</v>
      </c>
      <c r="Q17" s="112"/>
      <c r="R17" s="113" t="s">
        <v>153</v>
      </c>
      <c r="S17" s="114"/>
      <c r="T17" s="116"/>
      <c r="U17" s="116"/>
      <c r="V17" s="121"/>
      <c r="W17" s="118"/>
    </row>
    <row r="18" spans="1:23" s="33" customFormat="1" ht="20.100000000000001" customHeight="1">
      <c r="A18" s="16">
        <v>14</v>
      </c>
      <c r="B18" s="123" t="s">
        <v>161</v>
      </c>
      <c r="C18" s="18" t="s">
        <v>127</v>
      </c>
      <c r="D18" s="106"/>
      <c r="E18" s="18" t="s">
        <v>162</v>
      </c>
      <c r="F18" s="25">
        <v>2999.9</v>
      </c>
      <c r="G18" s="108">
        <v>-0.5</v>
      </c>
      <c r="H18" s="25"/>
      <c r="I18" s="109" t="str">
        <f t="shared" si="0"/>
        <v/>
      </c>
      <c r="J18" s="110"/>
      <c r="K18" s="110"/>
      <c r="L18" s="25"/>
      <c r="M18" s="25"/>
      <c r="N18" s="109">
        <f t="shared" si="1"/>
        <v>0</v>
      </c>
      <c r="O18" s="111">
        <f t="shared" si="2"/>
        <v>-0.5</v>
      </c>
      <c r="P18" s="112" t="s">
        <v>155</v>
      </c>
      <c r="Q18" s="112"/>
      <c r="R18" s="113" t="s">
        <v>153</v>
      </c>
      <c r="S18" s="114"/>
      <c r="T18" s="116"/>
      <c r="U18" s="116"/>
      <c r="V18" s="121"/>
      <c r="W18" s="118"/>
    </row>
    <row r="19" spans="1:23" s="33" customFormat="1" ht="20.100000000000001" customHeight="1">
      <c r="A19" s="16">
        <v>15</v>
      </c>
      <c r="B19" s="123" t="s">
        <v>163</v>
      </c>
      <c r="C19" s="18" t="s">
        <v>127</v>
      </c>
      <c r="D19" s="106"/>
      <c r="E19" s="18" t="s">
        <v>164</v>
      </c>
      <c r="F19" s="25">
        <v>1998</v>
      </c>
      <c r="G19" s="108"/>
      <c r="H19" s="25"/>
      <c r="I19" s="109" t="str">
        <f t="shared" si="0"/>
        <v/>
      </c>
      <c r="J19" s="110"/>
      <c r="K19" s="110"/>
      <c r="L19" s="25"/>
      <c r="M19" s="25"/>
      <c r="N19" s="109">
        <f t="shared" si="1"/>
        <v>0</v>
      </c>
      <c r="O19" s="111">
        <f t="shared" si="2"/>
        <v>0</v>
      </c>
      <c r="P19" s="112" t="s">
        <v>155</v>
      </c>
      <c r="Q19" s="112"/>
      <c r="R19" s="113" t="s">
        <v>153</v>
      </c>
      <c r="S19" s="114"/>
      <c r="T19" s="116"/>
      <c r="U19" s="116"/>
      <c r="V19" s="121"/>
      <c r="W19" s="118"/>
    </row>
    <row r="20" spans="1:23" s="33" customFormat="1" ht="20.100000000000001" customHeight="1">
      <c r="A20" s="16">
        <v>16</v>
      </c>
      <c r="B20" s="123" t="s">
        <v>165</v>
      </c>
      <c r="C20" s="18" t="s">
        <v>127</v>
      </c>
      <c r="D20" s="106"/>
      <c r="E20" s="18" t="s">
        <v>137</v>
      </c>
      <c r="F20" s="25">
        <v>1029.44</v>
      </c>
      <c r="G20" s="108"/>
      <c r="H20" s="108"/>
      <c r="I20" s="109" t="str">
        <f t="shared" si="0"/>
        <v/>
      </c>
      <c r="J20" s="110"/>
      <c r="K20" s="110"/>
      <c r="L20" s="25"/>
      <c r="M20" s="25"/>
      <c r="N20" s="109">
        <f t="shared" si="1"/>
        <v>0</v>
      </c>
      <c r="O20" s="111">
        <f t="shared" si="2"/>
        <v>0</v>
      </c>
      <c r="P20" s="112" t="s">
        <v>155</v>
      </c>
      <c r="Q20" s="112"/>
      <c r="R20" s="113" t="s">
        <v>153</v>
      </c>
      <c r="S20" s="114"/>
      <c r="T20" s="116"/>
      <c r="U20" s="116"/>
      <c r="V20" s="121"/>
      <c r="W20" s="118"/>
    </row>
    <row r="21" spans="1:23" s="33" customFormat="1" ht="20.100000000000001" customHeight="1">
      <c r="A21" s="16">
        <v>17</v>
      </c>
      <c r="B21" s="123" t="s">
        <v>166</v>
      </c>
      <c r="C21" s="18" t="s">
        <v>127</v>
      </c>
      <c r="D21" s="106"/>
      <c r="E21" s="18" t="s">
        <v>142</v>
      </c>
      <c r="F21" s="22"/>
      <c r="G21" s="108"/>
      <c r="H21" s="25"/>
      <c r="I21" s="109" t="str">
        <f t="shared" si="0"/>
        <v/>
      </c>
      <c r="J21" s="110"/>
      <c r="K21" s="110"/>
      <c r="L21" s="129">
        <v>-2066.35</v>
      </c>
      <c r="M21" s="25">
        <v>1779.3</v>
      </c>
      <c r="N21" s="109"/>
      <c r="O21" s="111">
        <f t="shared" si="2"/>
        <v>-287.04999999999995</v>
      </c>
      <c r="P21" s="112" t="s">
        <v>167</v>
      </c>
      <c r="Q21" s="112"/>
      <c r="R21" s="113" t="s">
        <v>153</v>
      </c>
      <c r="S21" s="114"/>
      <c r="T21" s="116"/>
      <c r="U21" s="116"/>
      <c r="V21" s="121"/>
      <c r="W21" s="118"/>
    </row>
    <row r="22" spans="1:23" s="33" customFormat="1" ht="20.100000000000001" customHeight="1">
      <c r="A22" s="16">
        <v>18</v>
      </c>
      <c r="B22" s="123" t="s">
        <v>168</v>
      </c>
      <c r="C22" s="18" t="s">
        <v>127</v>
      </c>
      <c r="D22" s="106"/>
      <c r="E22" s="18" t="s">
        <v>151</v>
      </c>
      <c r="F22" s="25"/>
      <c r="G22" s="108"/>
      <c r="H22" s="25"/>
      <c r="I22" s="109" t="str">
        <f t="shared" si="0"/>
        <v/>
      </c>
      <c r="J22" s="110"/>
      <c r="K22" s="110"/>
      <c r="L22" s="22">
        <v>516</v>
      </c>
      <c r="M22" s="22"/>
      <c r="N22" s="109">
        <f>(J22+K22+L22+M22-U22)*0.015</f>
        <v>0</v>
      </c>
      <c r="O22" s="111">
        <f t="shared" si="2"/>
        <v>516</v>
      </c>
      <c r="P22" s="112" t="s">
        <v>169</v>
      </c>
      <c r="Q22" s="112"/>
      <c r="R22" s="113" t="s">
        <v>153</v>
      </c>
      <c r="S22" s="114"/>
      <c r="T22" s="115">
        <v>42678</v>
      </c>
      <c r="U22" s="116">
        <v>516</v>
      </c>
      <c r="V22" s="117">
        <f>U22/O22</f>
        <v>1</v>
      </c>
      <c r="W22" s="118"/>
    </row>
    <row r="23" spans="1:23" s="33" customFormat="1" ht="20.100000000000001" customHeight="1">
      <c r="A23" s="16">
        <v>19</v>
      </c>
      <c r="B23" s="123" t="s">
        <v>170</v>
      </c>
      <c r="C23" s="18" t="s">
        <v>127</v>
      </c>
      <c r="D23" s="106"/>
      <c r="E23" s="18" t="s">
        <v>128</v>
      </c>
      <c r="F23" s="22"/>
      <c r="G23" s="108">
        <v>0.06</v>
      </c>
      <c r="H23" s="25"/>
      <c r="I23" s="109">
        <f t="shared" si="0"/>
        <v>5.9999999999999995E-4</v>
      </c>
      <c r="J23" s="110"/>
      <c r="K23" s="110"/>
      <c r="L23" s="25">
        <v>-114.4</v>
      </c>
      <c r="M23" s="25"/>
      <c r="N23" s="109"/>
      <c r="O23" s="111">
        <f t="shared" si="2"/>
        <v>-114.34</v>
      </c>
      <c r="P23" s="112" t="s">
        <v>171</v>
      </c>
      <c r="Q23" s="112"/>
      <c r="R23" s="113" t="s">
        <v>153</v>
      </c>
      <c r="S23" s="114"/>
      <c r="T23" s="116"/>
      <c r="U23" s="116"/>
      <c r="V23" s="121"/>
      <c r="W23" s="118"/>
    </row>
    <row r="24" spans="1:23" s="33" customFormat="1" ht="20.100000000000001" customHeight="1">
      <c r="A24" s="16">
        <v>20</v>
      </c>
      <c r="B24" s="130" t="s">
        <v>172</v>
      </c>
      <c r="C24" s="131" t="s">
        <v>173</v>
      </c>
      <c r="D24" s="132"/>
      <c r="E24" s="133" t="s">
        <v>134</v>
      </c>
      <c r="F24" s="82"/>
      <c r="G24" s="134"/>
      <c r="H24" s="135"/>
      <c r="I24" s="109" t="str">
        <f t="shared" si="0"/>
        <v/>
      </c>
      <c r="J24" s="135"/>
      <c r="K24" s="135"/>
      <c r="L24" s="135"/>
      <c r="M24" s="135">
        <v>1998</v>
      </c>
      <c r="N24" s="109">
        <f>(J24+K24+L24+M24-U24)*0.015</f>
        <v>0</v>
      </c>
      <c r="O24" s="111">
        <f t="shared" si="2"/>
        <v>1998</v>
      </c>
      <c r="P24" s="112"/>
      <c r="Q24" s="112"/>
      <c r="R24" s="136" t="s">
        <v>174</v>
      </c>
      <c r="S24" s="114"/>
      <c r="T24" s="115">
        <v>42674</v>
      </c>
      <c r="U24" s="116">
        <v>1998</v>
      </c>
      <c r="V24" s="137">
        <f t="shared" ref="V24" si="3">U24/O24</f>
        <v>1</v>
      </c>
      <c r="W24" s="118"/>
    </row>
    <row r="25" spans="1:23" s="33" customFormat="1" ht="20.100000000000001" customHeight="1">
      <c r="A25" s="16">
        <v>21</v>
      </c>
      <c r="B25" s="130" t="s">
        <v>175</v>
      </c>
      <c r="C25" s="131" t="s">
        <v>173</v>
      </c>
      <c r="D25" s="132"/>
      <c r="E25" s="133" t="s">
        <v>176</v>
      </c>
      <c r="F25" s="82"/>
      <c r="G25" s="36"/>
      <c r="H25" s="135"/>
      <c r="I25" s="109" t="str">
        <f t="shared" si="0"/>
        <v/>
      </c>
      <c r="J25" s="135"/>
      <c r="K25" s="135"/>
      <c r="L25" s="135"/>
      <c r="M25" s="135"/>
      <c r="N25" s="109">
        <f t="shared" si="1"/>
        <v>0</v>
      </c>
      <c r="O25" s="111">
        <f t="shared" si="2"/>
        <v>0</v>
      </c>
      <c r="P25" s="112"/>
      <c r="Q25" s="112"/>
      <c r="R25" s="136" t="s">
        <v>177</v>
      </c>
      <c r="S25" s="114"/>
      <c r="T25" s="138"/>
      <c r="U25" s="116"/>
      <c r="V25" s="137"/>
      <c r="W25" s="118"/>
    </row>
    <row r="26" spans="1:23" s="33" customFormat="1" ht="20.100000000000001" customHeight="1">
      <c r="A26" s="16">
        <v>22</v>
      </c>
      <c r="B26" s="130" t="s">
        <v>178</v>
      </c>
      <c r="C26" s="131" t="s">
        <v>173</v>
      </c>
      <c r="D26" s="132"/>
      <c r="E26" s="133" t="s">
        <v>176</v>
      </c>
      <c r="F26" s="82"/>
      <c r="G26" s="36"/>
      <c r="H26" s="135"/>
      <c r="I26" s="109" t="str">
        <f t="shared" si="0"/>
        <v/>
      </c>
      <c r="J26" s="135"/>
      <c r="K26" s="135"/>
      <c r="L26" s="135"/>
      <c r="M26" s="135"/>
      <c r="N26" s="109">
        <f t="shared" si="1"/>
        <v>0</v>
      </c>
      <c r="O26" s="111">
        <f t="shared" si="2"/>
        <v>0</v>
      </c>
      <c r="P26" s="112"/>
      <c r="Q26" s="112"/>
      <c r="R26" s="136" t="s">
        <v>177</v>
      </c>
      <c r="S26" s="114"/>
      <c r="T26" s="138"/>
      <c r="U26" s="116"/>
      <c r="V26" s="137"/>
      <c r="W26" s="118"/>
    </row>
    <row r="27" spans="1:23" s="33" customFormat="1" ht="20.100000000000001" customHeight="1">
      <c r="A27" s="16">
        <v>23</v>
      </c>
      <c r="B27" s="139" t="s">
        <v>179</v>
      </c>
      <c r="C27" s="131" t="s">
        <v>173</v>
      </c>
      <c r="D27" s="132"/>
      <c r="E27" s="133" t="s">
        <v>180</v>
      </c>
      <c r="F27" s="140"/>
      <c r="G27" s="141">
        <v>8412.0300000000007</v>
      </c>
      <c r="H27" s="135"/>
      <c r="I27" s="109">
        <f t="shared" si="0"/>
        <v>53</v>
      </c>
      <c r="J27" s="135"/>
      <c r="K27" s="135"/>
      <c r="L27" s="135"/>
      <c r="M27" s="135"/>
      <c r="N27" s="109">
        <f t="shared" si="1"/>
        <v>0</v>
      </c>
      <c r="O27" s="111">
        <f t="shared" si="2"/>
        <v>8412.0300000000007</v>
      </c>
      <c r="P27" s="112"/>
      <c r="Q27" s="112"/>
      <c r="R27" s="136" t="s">
        <v>181</v>
      </c>
      <c r="S27" s="114"/>
      <c r="T27" s="115">
        <v>42670</v>
      </c>
      <c r="U27" s="116">
        <v>3112.03</v>
      </c>
      <c r="V27" s="137">
        <f>U27/O27</f>
        <v>0.36994994073963122</v>
      </c>
      <c r="W27" s="118"/>
    </row>
    <row r="28" spans="1:23" s="33" customFormat="1" ht="20.100000000000001" customHeight="1">
      <c r="A28" s="16">
        <v>24</v>
      </c>
      <c r="B28" s="139" t="s">
        <v>182</v>
      </c>
      <c r="C28" s="131" t="s">
        <v>173</v>
      </c>
      <c r="D28" s="132"/>
      <c r="E28" s="133" t="s">
        <v>151</v>
      </c>
      <c r="F28" s="140">
        <v>-3.8</v>
      </c>
      <c r="G28" s="142"/>
      <c r="H28" s="135"/>
      <c r="I28" s="109" t="str">
        <f t="shared" si="0"/>
        <v/>
      </c>
      <c r="J28" s="135"/>
      <c r="K28" s="135"/>
      <c r="L28" s="135"/>
      <c r="M28" s="135"/>
      <c r="N28" s="109">
        <f t="shared" si="1"/>
        <v>0</v>
      </c>
      <c r="O28" s="111">
        <f t="shared" si="2"/>
        <v>0</v>
      </c>
      <c r="P28" s="112"/>
      <c r="Q28" s="112"/>
      <c r="R28" s="136" t="s">
        <v>181</v>
      </c>
      <c r="S28" s="114"/>
      <c r="T28" s="143"/>
      <c r="U28" s="144"/>
      <c r="V28" s="126"/>
      <c r="W28" s="118"/>
    </row>
    <row r="29" spans="1:23" s="33" customFormat="1" ht="20.100000000000001" customHeight="1">
      <c r="A29" s="16">
        <v>25</v>
      </c>
      <c r="B29" s="139" t="s">
        <v>183</v>
      </c>
      <c r="C29" s="131" t="s">
        <v>173</v>
      </c>
      <c r="D29" s="132"/>
      <c r="E29" s="133" t="s">
        <v>151</v>
      </c>
      <c r="F29" s="140"/>
      <c r="G29" s="141">
        <v>-50.04</v>
      </c>
      <c r="H29" s="135"/>
      <c r="I29" s="109" t="str">
        <f t="shared" si="0"/>
        <v/>
      </c>
      <c r="J29" s="135"/>
      <c r="K29" s="135"/>
      <c r="L29" s="135"/>
      <c r="M29" s="135"/>
      <c r="N29" s="109">
        <f t="shared" si="1"/>
        <v>0</v>
      </c>
      <c r="O29" s="111">
        <f t="shared" si="2"/>
        <v>-50.04</v>
      </c>
      <c r="P29" s="112"/>
      <c r="Q29" s="112"/>
      <c r="R29" s="136" t="s">
        <v>181</v>
      </c>
      <c r="S29" s="114"/>
      <c r="T29" s="143"/>
      <c r="U29" s="144"/>
      <c r="V29" s="126"/>
      <c r="W29" s="118"/>
    </row>
    <row r="30" spans="1:23" s="33" customFormat="1" ht="20.100000000000001" customHeight="1">
      <c r="A30" s="16">
        <v>26</v>
      </c>
      <c r="B30" s="123" t="s">
        <v>184</v>
      </c>
      <c r="C30" s="18" t="s">
        <v>127</v>
      </c>
      <c r="D30" s="106"/>
      <c r="E30" s="18" t="s">
        <v>134</v>
      </c>
      <c r="F30" s="82"/>
      <c r="G30" s="108"/>
      <c r="H30" s="25"/>
      <c r="I30" s="109" t="str">
        <f t="shared" si="0"/>
        <v/>
      </c>
      <c r="J30" s="110"/>
      <c r="K30" s="110"/>
      <c r="L30" s="25"/>
      <c r="M30" s="25">
        <v>288</v>
      </c>
      <c r="N30" s="109">
        <f t="shared" si="1"/>
        <v>4.32</v>
      </c>
      <c r="O30" s="111">
        <f t="shared" si="2"/>
        <v>288</v>
      </c>
      <c r="P30" s="114" t="s">
        <v>185</v>
      </c>
      <c r="Q30" s="112"/>
      <c r="R30" s="113" t="s">
        <v>186</v>
      </c>
      <c r="S30" s="114"/>
      <c r="T30" s="116"/>
      <c r="U30" s="116"/>
      <c r="V30" s="121"/>
      <c r="W30" s="118"/>
    </row>
    <row r="31" spans="1:23" s="33" customFormat="1" ht="20.100000000000001" customHeight="1">
      <c r="A31" s="16">
        <v>27</v>
      </c>
      <c r="B31" s="130" t="s">
        <v>187</v>
      </c>
      <c r="C31" s="131" t="s">
        <v>173</v>
      </c>
      <c r="D31" s="145"/>
      <c r="E31" s="133" t="s">
        <v>188</v>
      </c>
      <c r="F31" s="140"/>
      <c r="G31" s="141">
        <v>-0.01</v>
      </c>
      <c r="H31" s="135"/>
      <c r="I31" s="109" t="str">
        <f t="shared" si="0"/>
        <v/>
      </c>
      <c r="J31" s="135"/>
      <c r="K31" s="135"/>
      <c r="L31" s="135"/>
      <c r="M31" s="135"/>
      <c r="N31" s="109">
        <f t="shared" si="1"/>
        <v>0</v>
      </c>
      <c r="O31" s="111">
        <f t="shared" si="2"/>
        <v>-0.01</v>
      </c>
      <c r="P31" s="114"/>
      <c r="Q31" s="112"/>
      <c r="R31" s="136" t="s">
        <v>186</v>
      </c>
      <c r="S31" s="114"/>
      <c r="T31" s="116"/>
      <c r="U31" s="116"/>
      <c r="V31" s="121"/>
      <c r="W31" s="118"/>
    </row>
    <row r="32" spans="1:23" s="33" customFormat="1" ht="20.100000000000001" customHeight="1">
      <c r="A32" s="16">
        <v>28</v>
      </c>
      <c r="B32" s="123" t="s">
        <v>189</v>
      </c>
      <c r="C32" s="18" t="s">
        <v>127</v>
      </c>
      <c r="D32" s="146"/>
      <c r="E32" s="18" t="s">
        <v>128</v>
      </c>
      <c r="F32" s="82">
        <v>107841.57</v>
      </c>
      <c r="G32" s="108">
        <v>570521.93000000005</v>
      </c>
      <c r="H32" s="25">
        <v>2735</v>
      </c>
      <c r="I32" s="109">
        <f t="shared" si="0"/>
        <v>5732.569300000001</v>
      </c>
      <c r="J32" s="124"/>
      <c r="K32" s="110"/>
      <c r="L32" s="22"/>
      <c r="M32" s="22"/>
      <c r="N32" s="109">
        <f t="shared" si="1"/>
        <v>0</v>
      </c>
      <c r="O32" s="111">
        <f t="shared" si="2"/>
        <v>573256.93000000005</v>
      </c>
      <c r="P32" s="112" t="s">
        <v>190</v>
      </c>
      <c r="Q32" s="112"/>
      <c r="R32" s="113" t="s">
        <v>191</v>
      </c>
      <c r="S32" s="114"/>
      <c r="T32" s="116"/>
      <c r="U32" s="116"/>
      <c r="V32" s="121"/>
      <c r="W32" s="118"/>
    </row>
    <row r="33" spans="1:23" s="33" customFormat="1" ht="20.100000000000001" customHeight="1">
      <c r="A33" s="16">
        <v>29</v>
      </c>
      <c r="B33" s="123" t="s">
        <v>192</v>
      </c>
      <c r="C33" s="18" t="s">
        <v>127</v>
      </c>
      <c r="D33" s="146"/>
      <c r="E33" s="18" t="s">
        <v>128</v>
      </c>
      <c r="F33" s="82">
        <v>25956</v>
      </c>
      <c r="G33" s="108">
        <v>17411.5</v>
      </c>
      <c r="H33" s="25"/>
      <c r="I33" s="109">
        <f t="shared" si="0"/>
        <v>174.11500000000001</v>
      </c>
      <c r="J33" s="110"/>
      <c r="K33" s="110"/>
      <c r="L33" s="124"/>
      <c r="M33" s="124"/>
      <c r="N33" s="109">
        <f t="shared" si="1"/>
        <v>0</v>
      </c>
      <c r="O33" s="111">
        <f t="shared" si="2"/>
        <v>17411.5</v>
      </c>
      <c r="P33" s="112" t="s">
        <v>193</v>
      </c>
      <c r="Q33" s="112"/>
      <c r="R33" s="113" t="s">
        <v>194</v>
      </c>
      <c r="S33" s="114"/>
      <c r="T33" s="138"/>
      <c r="U33" s="116"/>
      <c r="V33" s="126"/>
      <c r="W33" s="118"/>
    </row>
    <row r="34" spans="1:23" s="33" customFormat="1" ht="20.100000000000001" customHeight="1">
      <c r="A34" s="16">
        <v>30</v>
      </c>
      <c r="B34" s="123" t="s">
        <v>195</v>
      </c>
      <c r="C34" s="18" t="s">
        <v>127</v>
      </c>
      <c r="D34" s="146"/>
      <c r="E34" s="18" t="s">
        <v>128</v>
      </c>
      <c r="F34" s="82">
        <v>722400</v>
      </c>
      <c r="G34" s="108">
        <v>299880</v>
      </c>
      <c r="H34" s="25"/>
      <c r="I34" s="109" t="str">
        <f t="shared" si="0"/>
        <v/>
      </c>
      <c r="J34" s="110"/>
      <c r="K34" s="110"/>
      <c r="L34" s="22"/>
      <c r="M34" s="22"/>
      <c r="N34" s="109">
        <f t="shared" si="1"/>
        <v>0</v>
      </c>
      <c r="O34" s="111">
        <f t="shared" si="2"/>
        <v>299880</v>
      </c>
      <c r="P34" s="112" t="s">
        <v>196</v>
      </c>
      <c r="Q34" s="112">
        <v>142000</v>
      </c>
      <c r="R34" s="113" t="s">
        <v>197</v>
      </c>
      <c r="S34" s="114"/>
      <c r="T34" s="115">
        <v>42676</v>
      </c>
      <c r="U34" s="116">
        <v>299880</v>
      </c>
      <c r="V34" s="137">
        <f>U34/O34</f>
        <v>1</v>
      </c>
      <c r="W34" s="118"/>
    </row>
    <row r="35" spans="1:23" s="33" customFormat="1" ht="20.100000000000001" customHeight="1">
      <c r="A35" s="16">
        <v>31</v>
      </c>
      <c r="B35" s="123" t="s">
        <v>198</v>
      </c>
      <c r="C35" s="18" t="s">
        <v>127</v>
      </c>
      <c r="D35" s="146"/>
      <c r="E35" s="18" t="s">
        <v>137</v>
      </c>
      <c r="F35" s="36">
        <v>2964</v>
      </c>
      <c r="G35" s="108"/>
      <c r="H35" s="25"/>
      <c r="I35" s="109" t="str">
        <f t="shared" si="0"/>
        <v/>
      </c>
      <c r="J35" s="110"/>
      <c r="K35" s="110"/>
      <c r="L35" s="25"/>
      <c r="M35" s="25"/>
      <c r="N35" s="109">
        <f t="shared" si="1"/>
        <v>0</v>
      </c>
      <c r="O35" s="111">
        <f t="shared" si="2"/>
        <v>0</v>
      </c>
      <c r="P35" s="112" t="s">
        <v>199</v>
      </c>
      <c r="Q35" s="112"/>
      <c r="R35" s="113" t="s">
        <v>177</v>
      </c>
      <c r="S35" s="114"/>
      <c r="T35" s="116"/>
      <c r="U35" s="116"/>
      <c r="V35" s="137"/>
      <c r="W35" s="118"/>
    </row>
    <row r="36" spans="1:23" s="33" customFormat="1" ht="20.100000000000001" customHeight="1">
      <c r="A36" s="16">
        <v>32</v>
      </c>
      <c r="B36" s="123" t="s">
        <v>200</v>
      </c>
      <c r="C36" s="18" t="s">
        <v>127</v>
      </c>
      <c r="D36" s="146"/>
      <c r="E36" s="18" t="s">
        <v>128</v>
      </c>
      <c r="F36" s="36"/>
      <c r="G36" s="108"/>
      <c r="H36" s="25"/>
      <c r="I36" s="109" t="str">
        <f t="shared" si="0"/>
        <v/>
      </c>
      <c r="J36" s="110"/>
      <c r="K36" s="110"/>
      <c r="L36" s="25"/>
      <c r="M36" s="22">
        <v>-6314.82</v>
      </c>
      <c r="N36" s="109"/>
      <c r="O36" s="111">
        <f t="shared" si="2"/>
        <v>-6314.82</v>
      </c>
      <c r="P36" s="112" t="s">
        <v>201</v>
      </c>
      <c r="Q36" s="112"/>
      <c r="R36" s="113" t="s">
        <v>202</v>
      </c>
      <c r="S36" s="114"/>
      <c r="T36" s="116"/>
      <c r="U36" s="116"/>
      <c r="V36" s="137"/>
      <c r="W36" s="118"/>
    </row>
    <row r="37" spans="1:23" s="33" customFormat="1" ht="20.100000000000001" customHeight="1">
      <c r="A37" s="16">
        <v>33</v>
      </c>
      <c r="B37" s="147" t="s">
        <v>203</v>
      </c>
      <c r="C37" s="18" t="s">
        <v>127</v>
      </c>
      <c r="D37" s="146"/>
      <c r="E37" s="18" t="s">
        <v>204</v>
      </c>
      <c r="F37" s="148"/>
      <c r="G37" s="148"/>
      <c r="H37" s="82">
        <v>9991.2800000000007</v>
      </c>
      <c r="I37" s="109">
        <f t="shared" si="0"/>
        <v>99.912800000000004</v>
      </c>
      <c r="J37" s="110"/>
      <c r="K37" s="110"/>
      <c r="L37" s="82"/>
      <c r="M37" s="82"/>
      <c r="N37" s="109">
        <f t="shared" si="1"/>
        <v>0</v>
      </c>
      <c r="O37" s="111">
        <f t="shared" si="2"/>
        <v>9991.2800000000007</v>
      </c>
      <c r="P37" s="112"/>
      <c r="Q37" s="112"/>
      <c r="R37" s="113" t="s">
        <v>177</v>
      </c>
      <c r="S37" s="114"/>
      <c r="T37" s="116"/>
      <c r="U37" s="116"/>
      <c r="V37" s="137"/>
      <c r="W37" s="118"/>
    </row>
    <row r="38" spans="1:23" s="33" customFormat="1" ht="20.100000000000001" customHeight="1">
      <c r="A38" s="16">
        <v>34</v>
      </c>
      <c r="B38" s="123" t="s">
        <v>205</v>
      </c>
      <c r="C38" s="18" t="s">
        <v>127</v>
      </c>
      <c r="D38" s="146"/>
      <c r="E38" s="18" t="s">
        <v>204</v>
      </c>
      <c r="F38" s="148"/>
      <c r="G38" s="108"/>
      <c r="H38" s="25">
        <v>93.53</v>
      </c>
      <c r="I38" s="109">
        <f t="shared" si="0"/>
        <v>0.93530000000000002</v>
      </c>
      <c r="J38" s="110"/>
      <c r="K38" s="110"/>
      <c r="L38" s="22"/>
      <c r="M38" s="22"/>
      <c r="N38" s="109">
        <f t="shared" si="1"/>
        <v>0</v>
      </c>
      <c r="O38" s="111">
        <f t="shared" si="2"/>
        <v>93.53</v>
      </c>
      <c r="P38" s="112"/>
      <c r="Q38" s="112"/>
      <c r="R38" s="113" t="s">
        <v>206</v>
      </c>
      <c r="S38" s="114"/>
      <c r="T38" s="116"/>
      <c r="U38" s="116"/>
      <c r="V38" s="137"/>
      <c r="W38" s="118"/>
    </row>
    <row r="39" spans="1:23" s="33" customFormat="1" ht="20.100000000000001" customHeight="1">
      <c r="A39" s="16">
        <v>35</v>
      </c>
      <c r="B39" s="139" t="s">
        <v>207</v>
      </c>
      <c r="C39" s="131" t="s">
        <v>173</v>
      </c>
      <c r="D39" s="145"/>
      <c r="E39" s="133" t="s">
        <v>204</v>
      </c>
      <c r="F39" s="149">
        <v>23632</v>
      </c>
      <c r="G39" s="142">
        <v>6960</v>
      </c>
      <c r="H39" s="135"/>
      <c r="I39" s="109" t="str">
        <f t="shared" si="0"/>
        <v/>
      </c>
      <c r="J39" s="135"/>
      <c r="K39" s="135"/>
      <c r="L39" s="135"/>
      <c r="M39" s="135"/>
      <c r="N39" s="109">
        <f t="shared" si="1"/>
        <v>0</v>
      </c>
      <c r="O39" s="111">
        <f t="shared" si="2"/>
        <v>6960</v>
      </c>
      <c r="P39" s="112"/>
      <c r="Q39" s="112"/>
      <c r="R39" s="136" t="s">
        <v>208</v>
      </c>
      <c r="S39" s="114"/>
      <c r="T39" s="115">
        <v>42654</v>
      </c>
      <c r="U39" s="116">
        <v>6960</v>
      </c>
      <c r="V39" s="137">
        <f>U39/O39</f>
        <v>1</v>
      </c>
      <c r="W39" s="118"/>
    </row>
    <row r="40" spans="1:23" s="33" customFormat="1" ht="20.100000000000001" customHeight="1">
      <c r="A40" s="16">
        <v>36</v>
      </c>
      <c r="B40" s="139" t="s">
        <v>209</v>
      </c>
      <c r="C40" s="131" t="s">
        <v>173</v>
      </c>
      <c r="D40" s="145"/>
      <c r="E40" s="133" t="s">
        <v>180</v>
      </c>
      <c r="F40" s="149">
        <f>35065.12+34156</f>
        <v>69221.119999999995</v>
      </c>
      <c r="G40" s="142">
        <v>39111</v>
      </c>
      <c r="H40" s="135"/>
      <c r="I40" s="109" t="str">
        <f t="shared" si="0"/>
        <v/>
      </c>
      <c r="J40" s="135"/>
      <c r="K40" s="135"/>
      <c r="L40" s="135"/>
      <c r="M40" s="135"/>
      <c r="N40" s="109">
        <f t="shared" si="1"/>
        <v>0</v>
      </c>
      <c r="O40" s="111">
        <f t="shared" si="2"/>
        <v>39111</v>
      </c>
      <c r="P40" s="112"/>
      <c r="Q40" s="112"/>
      <c r="R40" s="136" t="s">
        <v>208</v>
      </c>
      <c r="S40" s="114"/>
      <c r="T40" s="115">
        <v>42654</v>
      </c>
      <c r="U40" s="116">
        <v>39111</v>
      </c>
      <c r="V40" s="137">
        <f>U40/O40</f>
        <v>1</v>
      </c>
      <c r="W40" s="118"/>
    </row>
    <row r="41" spans="1:23" s="33" customFormat="1" ht="20.100000000000001" customHeight="1">
      <c r="A41" s="16">
        <v>37</v>
      </c>
      <c r="B41" s="123" t="s">
        <v>210</v>
      </c>
      <c r="C41" s="18" t="s">
        <v>127</v>
      </c>
      <c r="D41" s="146"/>
      <c r="E41" s="18" t="s">
        <v>142</v>
      </c>
      <c r="F41" s="150">
        <v>3300</v>
      </c>
      <c r="G41" s="108"/>
      <c r="H41" s="108"/>
      <c r="I41" s="109" t="str">
        <f t="shared" si="0"/>
        <v/>
      </c>
      <c r="J41" s="110"/>
      <c r="K41" s="110"/>
      <c r="L41" s="36">
        <v>1890</v>
      </c>
      <c r="M41" s="25">
        <v>0</v>
      </c>
      <c r="N41" s="109">
        <f t="shared" si="1"/>
        <v>28.349999999999998</v>
      </c>
      <c r="O41" s="111">
        <f t="shared" si="2"/>
        <v>1890</v>
      </c>
      <c r="P41" s="114" t="s">
        <v>211</v>
      </c>
      <c r="Q41" s="112"/>
      <c r="R41" s="113" t="s">
        <v>212</v>
      </c>
      <c r="S41" s="114"/>
      <c r="T41" s="116"/>
      <c r="U41" s="116"/>
      <c r="V41" s="137"/>
      <c r="W41" s="118"/>
    </row>
    <row r="42" spans="1:23" s="33" customFormat="1" ht="20.100000000000001" customHeight="1">
      <c r="A42" s="16">
        <v>38</v>
      </c>
      <c r="B42" s="18" t="s">
        <v>213</v>
      </c>
      <c r="C42" s="131" t="s">
        <v>127</v>
      </c>
      <c r="D42" s="132"/>
      <c r="E42" s="133" t="s">
        <v>214</v>
      </c>
      <c r="F42" s="151"/>
      <c r="G42" s="141"/>
      <c r="H42" s="135"/>
      <c r="I42" s="109" t="str">
        <f t="shared" si="0"/>
        <v/>
      </c>
      <c r="J42" s="135"/>
      <c r="K42" s="135"/>
      <c r="L42" s="151">
        <v>1598.46</v>
      </c>
      <c r="M42" s="135"/>
      <c r="N42" s="109">
        <f t="shared" si="1"/>
        <v>23.976900000000001</v>
      </c>
      <c r="O42" s="111">
        <f t="shared" si="2"/>
        <v>1598.46</v>
      </c>
      <c r="P42" s="112"/>
      <c r="Q42" s="112"/>
      <c r="R42" s="136" t="s">
        <v>177</v>
      </c>
      <c r="S42" s="114"/>
      <c r="T42" s="116"/>
      <c r="U42" s="116"/>
      <c r="V42" s="121"/>
    </row>
    <row r="43" spans="1:23" s="33" customFormat="1" ht="20.100000000000001" customHeight="1">
      <c r="A43" s="16">
        <v>39</v>
      </c>
      <c r="B43" s="18" t="s">
        <v>215</v>
      </c>
      <c r="C43" s="131" t="s">
        <v>127</v>
      </c>
      <c r="D43" s="132"/>
      <c r="E43" s="133" t="s">
        <v>214</v>
      </c>
      <c r="F43" s="151"/>
      <c r="G43" s="141"/>
      <c r="H43" s="135"/>
      <c r="I43" s="109" t="str">
        <f t="shared" si="0"/>
        <v/>
      </c>
      <c r="J43" s="135"/>
      <c r="K43" s="135"/>
      <c r="L43" s="151">
        <v>1487.66</v>
      </c>
      <c r="M43" s="135"/>
      <c r="N43" s="109">
        <f t="shared" si="1"/>
        <v>22.314900000000002</v>
      </c>
      <c r="O43" s="111">
        <f t="shared" si="2"/>
        <v>1487.66</v>
      </c>
      <c r="P43" s="112"/>
      <c r="Q43" s="112"/>
      <c r="R43" s="136" t="s">
        <v>177</v>
      </c>
      <c r="S43" s="114"/>
      <c r="T43" s="116"/>
      <c r="U43" s="116"/>
      <c r="V43" s="121"/>
    </row>
    <row r="44" spans="1:23" s="33" customFormat="1" ht="20.100000000000001" customHeight="1">
      <c r="A44" s="16">
        <v>40</v>
      </c>
      <c r="B44" s="18" t="s">
        <v>216</v>
      </c>
      <c r="C44" s="131" t="s">
        <v>127</v>
      </c>
      <c r="D44" s="132"/>
      <c r="E44" s="133" t="s">
        <v>214</v>
      </c>
      <c r="F44" s="151"/>
      <c r="G44" s="141"/>
      <c r="H44" s="135"/>
      <c r="I44" s="109" t="str">
        <f t="shared" si="0"/>
        <v/>
      </c>
      <c r="J44" s="135"/>
      <c r="K44" s="135"/>
      <c r="L44" s="151">
        <v>2932.96</v>
      </c>
      <c r="M44" s="135"/>
      <c r="N44" s="109">
        <f t="shared" si="1"/>
        <v>43.994399999999999</v>
      </c>
      <c r="O44" s="111">
        <f t="shared" si="2"/>
        <v>2932.96</v>
      </c>
      <c r="P44" s="112"/>
      <c r="Q44" s="112"/>
      <c r="R44" s="136" t="s">
        <v>177</v>
      </c>
      <c r="S44" s="114"/>
      <c r="T44" s="116"/>
      <c r="U44" s="116"/>
      <c r="V44" s="121"/>
    </row>
    <row r="45" spans="1:23" s="33" customFormat="1" ht="20.100000000000001" customHeight="1">
      <c r="A45" s="16">
        <v>41</v>
      </c>
      <c r="B45" s="18" t="s">
        <v>217</v>
      </c>
      <c r="C45" s="131" t="s">
        <v>127</v>
      </c>
      <c r="D45" s="132"/>
      <c r="E45" s="133" t="s">
        <v>214</v>
      </c>
      <c r="F45" s="151"/>
      <c r="G45" s="141"/>
      <c r="H45" s="135"/>
      <c r="I45" s="109" t="str">
        <f t="shared" si="0"/>
        <v/>
      </c>
      <c r="J45" s="135"/>
      <c r="K45" s="135"/>
      <c r="L45" s="151">
        <v>615.76</v>
      </c>
      <c r="M45" s="135"/>
      <c r="N45" s="109">
        <f t="shared" si="1"/>
        <v>9.2363999999999997</v>
      </c>
      <c r="O45" s="111">
        <f t="shared" si="2"/>
        <v>615.76</v>
      </c>
      <c r="P45" s="112"/>
      <c r="Q45" s="112"/>
      <c r="R45" s="136" t="s">
        <v>177</v>
      </c>
      <c r="S45" s="114"/>
      <c r="T45" s="116"/>
      <c r="U45" s="116"/>
      <c r="V45" s="121"/>
    </row>
    <row r="46" spans="1:23" s="33" customFormat="1" ht="20.100000000000001" customHeight="1">
      <c r="A46" s="16">
        <v>42</v>
      </c>
      <c r="B46" s="123" t="s">
        <v>218</v>
      </c>
      <c r="C46" s="18" t="s">
        <v>127</v>
      </c>
      <c r="D46" s="146"/>
      <c r="E46" s="18" t="s">
        <v>204</v>
      </c>
      <c r="F46" s="82"/>
      <c r="G46" s="108">
        <v>0.01</v>
      </c>
      <c r="H46" s="25"/>
      <c r="I46" s="109">
        <f t="shared" si="0"/>
        <v>1E-4</v>
      </c>
      <c r="J46" s="110"/>
      <c r="K46" s="110"/>
      <c r="L46" s="25"/>
      <c r="M46" s="25"/>
      <c r="N46" s="109">
        <f t="shared" si="1"/>
        <v>0</v>
      </c>
      <c r="O46" s="111">
        <f t="shared" si="2"/>
        <v>0.01</v>
      </c>
      <c r="P46" s="112" t="s">
        <v>219</v>
      </c>
      <c r="Q46" s="112"/>
      <c r="R46" s="113" t="s">
        <v>212</v>
      </c>
      <c r="S46" s="114"/>
      <c r="T46" s="115"/>
      <c r="U46" s="116"/>
      <c r="V46" s="117"/>
      <c r="W46" s="118"/>
    </row>
    <row r="47" spans="1:23" s="33" customFormat="1" ht="20.100000000000001" customHeight="1">
      <c r="A47" s="16">
        <v>43</v>
      </c>
      <c r="B47" s="130" t="s">
        <v>220</v>
      </c>
      <c r="C47" s="131" t="s">
        <v>173</v>
      </c>
      <c r="D47" s="152" t="s">
        <v>221</v>
      </c>
      <c r="E47" s="133">
        <v>0</v>
      </c>
      <c r="F47" s="153"/>
      <c r="G47" s="149"/>
      <c r="H47" s="135">
        <v>445.07</v>
      </c>
      <c r="I47" s="109">
        <f t="shared" si="0"/>
        <v>4.4507000000000003</v>
      </c>
      <c r="J47" s="135"/>
      <c r="K47" s="135"/>
      <c r="L47" s="135"/>
      <c r="M47" s="135"/>
      <c r="N47" s="109">
        <f t="shared" si="1"/>
        <v>0</v>
      </c>
      <c r="O47" s="111">
        <f>G47+H47+J47+K47+L47+M47</f>
        <v>445.07</v>
      </c>
      <c r="P47" s="112"/>
      <c r="Q47" s="112"/>
      <c r="R47" s="136" t="s">
        <v>206</v>
      </c>
      <c r="S47" s="114"/>
      <c r="T47" s="116"/>
      <c r="U47" s="116"/>
      <c r="V47" s="121"/>
      <c r="W47" s="118"/>
    </row>
    <row r="48" spans="1:23" s="33" customFormat="1" ht="21.75" customHeight="1">
      <c r="A48" s="16">
        <v>10</v>
      </c>
      <c r="B48" s="130" t="s">
        <v>222</v>
      </c>
      <c r="C48" s="18" t="s">
        <v>127</v>
      </c>
      <c r="D48" s="132"/>
      <c r="E48" s="133" t="s">
        <v>188</v>
      </c>
      <c r="F48" s="153"/>
      <c r="G48" s="149"/>
      <c r="H48" s="135"/>
      <c r="I48" s="109" t="str">
        <f t="shared" si="0"/>
        <v/>
      </c>
      <c r="J48" s="135"/>
      <c r="K48" s="135"/>
      <c r="L48" s="154">
        <v>750</v>
      </c>
      <c r="M48" s="135"/>
      <c r="N48" s="109">
        <f>(J48+K48+L48+M48-U48)*0.015</f>
        <v>9</v>
      </c>
      <c r="O48" s="111">
        <f>G48+H48+J48+K48+L48+M48</f>
        <v>750</v>
      </c>
      <c r="P48" s="112"/>
      <c r="Q48" s="112"/>
      <c r="R48" s="113" t="s">
        <v>212</v>
      </c>
      <c r="S48" s="114"/>
      <c r="T48" s="115">
        <v>42658</v>
      </c>
      <c r="U48" s="116">
        <v>150</v>
      </c>
      <c r="V48" s="126">
        <f t="shared" ref="V48" si="4">U48/O48</f>
        <v>0.2</v>
      </c>
      <c r="W48" s="118"/>
    </row>
    <row r="49" spans="1:23" s="33" customFormat="1" ht="20.100000000000001" customHeight="1">
      <c r="A49" s="16">
        <v>45</v>
      </c>
      <c r="B49" s="130" t="s">
        <v>222</v>
      </c>
      <c r="C49" s="18" t="s">
        <v>127</v>
      </c>
      <c r="D49" s="132"/>
      <c r="E49" s="133" t="s">
        <v>188</v>
      </c>
      <c r="F49" s="153"/>
      <c r="G49" s="149"/>
      <c r="H49" s="135"/>
      <c r="I49" s="109" t="str">
        <f t="shared" si="0"/>
        <v/>
      </c>
      <c r="J49" s="135"/>
      <c r="K49" s="135"/>
      <c r="L49" s="155">
        <v>150</v>
      </c>
      <c r="M49" s="135"/>
      <c r="N49" s="109">
        <f t="shared" si="1"/>
        <v>2.25</v>
      </c>
      <c r="O49" s="111">
        <v>150</v>
      </c>
      <c r="P49" s="112"/>
      <c r="Q49" s="112"/>
      <c r="R49" s="136" t="s">
        <v>186</v>
      </c>
      <c r="S49" s="114"/>
      <c r="T49" s="116"/>
      <c r="U49" s="116"/>
      <c r="V49" s="126"/>
      <c r="W49" s="118"/>
    </row>
    <row r="50" spans="1:23" s="33" customFormat="1" ht="20.100000000000001" customHeight="1">
      <c r="A50" s="16">
        <v>46</v>
      </c>
      <c r="B50" s="123" t="s">
        <v>223</v>
      </c>
      <c r="C50" s="18" t="s">
        <v>127</v>
      </c>
      <c r="D50" s="106"/>
      <c r="E50" s="18" t="s">
        <v>128</v>
      </c>
      <c r="F50" s="22"/>
      <c r="G50" s="108"/>
      <c r="H50" s="25"/>
      <c r="I50" s="109" t="str">
        <f t="shared" si="0"/>
        <v/>
      </c>
      <c r="J50" s="110"/>
      <c r="K50" s="110"/>
      <c r="L50" s="22"/>
      <c r="M50" s="22">
        <v>3014.49</v>
      </c>
      <c r="N50" s="109">
        <f t="shared" si="1"/>
        <v>45.217349999999996</v>
      </c>
      <c r="O50" s="111">
        <f>G50+H50+J50+K50+L50+M50</f>
        <v>3014.49</v>
      </c>
      <c r="P50" s="114" t="s">
        <v>224</v>
      </c>
      <c r="Q50" s="112"/>
      <c r="R50" s="113" t="s">
        <v>186</v>
      </c>
      <c r="S50" s="114"/>
      <c r="T50" s="116"/>
      <c r="U50" s="116"/>
      <c r="V50" s="126"/>
      <c r="W50" s="118"/>
    </row>
    <row r="51" spans="1:23" s="33" customFormat="1" ht="20.100000000000001" customHeight="1">
      <c r="A51" s="16">
        <v>47</v>
      </c>
      <c r="B51" s="156" t="s">
        <v>225</v>
      </c>
      <c r="C51" s="18" t="s">
        <v>173</v>
      </c>
      <c r="D51" s="106"/>
      <c r="E51" s="18" t="s">
        <v>204</v>
      </c>
      <c r="F51" s="22"/>
      <c r="G51" s="36"/>
      <c r="H51" s="22"/>
      <c r="I51" s="109" t="str">
        <f t="shared" si="0"/>
        <v/>
      </c>
      <c r="J51" s="110"/>
      <c r="K51" s="110"/>
      <c r="L51" s="22">
        <v>61980.82</v>
      </c>
      <c r="M51" s="22"/>
      <c r="N51" s="109">
        <f>(J51+K51+L51+M51-U51)*0.015</f>
        <v>209.71245000000002</v>
      </c>
      <c r="O51" s="111">
        <f>G51+H51+J51+K51+L51+M51</f>
        <v>61980.82</v>
      </c>
      <c r="P51" s="114"/>
      <c r="Q51" s="112"/>
      <c r="R51" s="113" t="s">
        <v>226</v>
      </c>
      <c r="S51" s="114"/>
      <c r="T51" s="115">
        <v>42665</v>
      </c>
      <c r="U51" s="116">
        <v>47999.99</v>
      </c>
      <c r="V51" s="137">
        <f>U51/O51</f>
        <v>0.77443296168072639</v>
      </c>
      <c r="W51" s="118"/>
    </row>
    <row r="52" spans="1:23" s="33" customFormat="1" ht="20.100000000000001" customHeight="1">
      <c r="A52" s="16">
        <v>48</v>
      </c>
      <c r="B52" s="147" t="s">
        <v>227</v>
      </c>
      <c r="C52" s="18" t="s">
        <v>127</v>
      </c>
      <c r="D52" s="106"/>
      <c r="E52" s="18" t="s">
        <v>204</v>
      </c>
      <c r="F52" s="36">
        <v>44300</v>
      </c>
      <c r="G52" s="36">
        <v>100</v>
      </c>
      <c r="H52" s="22"/>
      <c r="I52" s="109">
        <f t="shared" si="0"/>
        <v>1</v>
      </c>
      <c r="J52" s="110"/>
      <c r="K52" s="110"/>
      <c r="L52" s="22"/>
      <c r="M52" s="22"/>
      <c r="N52" s="109">
        <f t="shared" si="1"/>
        <v>0</v>
      </c>
      <c r="O52" s="111"/>
      <c r="P52" s="114"/>
      <c r="Q52" s="112"/>
      <c r="R52" s="113" t="s">
        <v>208</v>
      </c>
      <c r="S52" s="114"/>
      <c r="T52" s="115"/>
      <c r="U52" s="116"/>
      <c r="V52" s="126"/>
      <c r="W52" s="118"/>
    </row>
    <row r="53" spans="1:23" s="33" customFormat="1" ht="20.100000000000001" customHeight="1">
      <c r="A53" s="16">
        <v>49</v>
      </c>
      <c r="B53" s="147" t="s">
        <v>228</v>
      </c>
      <c r="C53" s="18" t="s">
        <v>173</v>
      </c>
      <c r="D53" s="106"/>
      <c r="E53" s="18">
        <v>0</v>
      </c>
      <c r="F53" s="36"/>
      <c r="G53" s="36"/>
      <c r="H53" s="22"/>
      <c r="I53" s="109" t="str">
        <f t="shared" si="0"/>
        <v/>
      </c>
      <c r="J53" s="110"/>
      <c r="K53" s="110"/>
      <c r="L53" s="22">
        <f>15930.93+12830.98</f>
        <v>28761.91</v>
      </c>
      <c r="M53" s="22"/>
      <c r="N53" s="109">
        <f>(J53+K53+L53+M53-U53)*0.015</f>
        <v>0</v>
      </c>
      <c r="O53" s="111"/>
      <c r="P53" s="114"/>
      <c r="Q53" s="112"/>
      <c r="R53" s="136" t="s">
        <v>177</v>
      </c>
      <c r="S53" s="114"/>
      <c r="T53" s="115"/>
      <c r="U53" s="116">
        <v>28761.91</v>
      </c>
      <c r="V53" s="137" t="e">
        <f>U53/O53</f>
        <v>#DIV/0!</v>
      </c>
      <c r="W53" s="118"/>
    </row>
    <row r="54" spans="1:23" s="170" customFormat="1" ht="20.100000000000001" customHeight="1">
      <c r="A54" s="157">
        <v>50</v>
      </c>
      <c r="B54" s="130" t="s">
        <v>229</v>
      </c>
      <c r="C54" s="131" t="s">
        <v>127</v>
      </c>
      <c r="D54" s="158"/>
      <c r="E54" s="159" t="s">
        <v>188</v>
      </c>
      <c r="F54" s="160"/>
      <c r="G54" s="161"/>
      <c r="H54" s="161"/>
      <c r="I54" s="109" t="str">
        <f t="shared" si="0"/>
        <v/>
      </c>
      <c r="J54" s="161"/>
      <c r="K54" s="161"/>
      <c r="L54" s="161">
        <v>42180</v>
      </c>
      <c r="M54" s="161"/>
      <c r="N54" s="109">
        <f>(J54+K54+L54+M54-U54)*0.015</f>
        <v>0</v>
      </c>
      <c r="O54" s="162">
        <v>42180</v>
      </c>
      <c r="P54" s="163"/>
      <c r="Q54" s="164"/>
      <c r="R54" s="113" t="s">
        <v>226</v>
      </c>
      <c r="S54" s="166"/>
      <c r="T54" s="167">
        <v>42658</v>
      </c>
      <c r="U54" s="168">
        <v>42180</v>
      </c>
      <c r="V54" s="126">
        <f t="shared" ref="V54" si="5">U54/O54</f>
        <v>1</v>
      </c>
      <c r="W54" s="169"/>
    </row>
    <row r="55" spans="1:23" s="33" customFormat="1" ht="20.100000000000001" customHeight="1">
      <c r="A55" s="50"/>
      <c r="B55" s="171" t="s">
        <v>256</v>
      </c>
      <c r="C55" s="52"/>
      <c r="D55" s="53"/>
      <c r="E55" s="54"/>
      <c r="F55" s="172"/>
      <c r="G55" s="173"/>
      <c r="H55" s="174"/>
      <c r="I55" s="174"/>
      <c r="J55" s="174"/>
      <c r="K55" s="174"/>
      <c r="L55" s="174"/>
      <c r="M55" s="174"/>
      <c r="N55" s="174"/>
      <c r="O55" s="175"/>
      <c r="P55" s="176"/>
      <c r="Q55" s="176"/>
      <c r="R55" s="177"/>
      <c r="S55" s="178"/>
      <c r="T55" s="176"/>
      <c r="U55" s="176"/>
      <c r="V55" s="179"/>
      <c r="W55" s="118"/>
    </row>
    <row r="56" spans="1:23" s="33" customFormat="1" ht="20.100000000000001" customHeight="1">
      <c r="A56" s="180"/>
      <c r="B56" s="181" t="s">
        <v>83</v>
      </c>
      <c r="C56" s="182"/>
      <c r="D56" s="183"/>
      <c r="E56" s="182"/>
      <c r="F56" s="184">
        <f t="shared" ref="F56:O56" si="6">SUM(F5:F55)</f>
        <v>1087744.3900000001</v>
      </c>
      <c r="G56" s="185">
        <f t="shared" si="6"/>
        <v>1040431.81</v>
      </c>
      <c r="H56" s="185">
        <f t="shared" si="6"/>
        <v>14471.61</v>
      </c>
      <c r="I56" s="185">
        <f t="shared" si="6"/>
        <v>6727.0244000000012</v>
      </c>
      <c r="J56" s="185">
        <f t="shared" si="6"/>
        <v>0</v>
      </c>
      <c r="K56" s="185">
        <f t="shared" si="6"/>
        <v>0</v>
      </c>
      <c r="L56" s="185">
        <f t="shared" si="6"/>
        <v>213204.67</v>
      </c>
      <c r="M56" s="185">
        <f t="shared" si="6"/>
        <v>11861.38</v>
      </c>
      <c r="N56" s="185">
        <f t="shared" si="6"/>
        <v>1653.3543</v>
      </c>
      <c r="O56" s="185">
        <f t="shared" si="6"/>
        <v>1251107.56</v>
      </c>
      <c r="P56" s="186"/>
      <c r="Q56" s="187"/>
      <c r="R56" s="188"/>
      <c r="S56" s="186"/>
      <c r="T56" s="187"/>
      <c r="U56" s="187"/>
      <c r="V56" s="189"/>
      <c r="W56" s="118"/>
    </row>
    <row r="57" spans="1:23" s="33" customFormat="1" ht="20.100000000000001" customHeight="1">
      <c r="A57" s="16">
        <v>51</v>
      </c>
      <c r="B57" s="130" t="s">
        <v>231</v>
      </c>
      <c r="C57" s="131" t="s">
        <v>173</v>
      </c>
      <c r="D57" s="145"/>
      <c r="E57" s="133" t="s">
        <v>176</v>
      </c>
      <c r="F57" s="140"/>
      <c r="G57" s="141"/>
      <c r="H57" s="135"/>
      <c r="I57" s="109"/>
      <c r="J57" s="135"/>
      <c r="K57" s="135"/>
      <c r="L57" s="135"/>
      <c r="M57" s="135"/>
      <c r="N57" s="109"/>
      <c r="O57" s="111">
        <f t="shared" si="2"/>
        <v>0</v>
      </c>
      <c r="P57" s="112"/>
      <c r="Q57" s="112"/>
      <c r="R57" s="136"/>
      <c r="S57" s="114"/>
      <c r="T57" s="115"/>
      <c r="U57" s="116"/>
      <c r="V57" s="126"/>
      <c r="W57" s="118"/>
    </row>
    <row r="58" spans="1:23" s="33" customFormat="1" ht="20.100000000000001" customHeight="1">
      <c r="A58" s="16">
        <v>52</v>
      </c>
      <c r="B58" s="130" t="s">
        <v>232</v>
      </c>
      <c r="C58" s="131" t="s">
        <v>127</v>
      </c>
      <c r="D58" s="132"/>
      <c r="E58" s="133" t="s">
        <v>176</v>
      </c>
      <c r="F58" s="140"/>
      <c r="G58" s="141">
        <v>71085.009999999995</v>
      </c>
      <c r="H58" s="135"/>
      <c r="I58" s="109"/>
      <c r="J58" s="135"/>
      <c r="K58" s="135"/>
      <c r="L58" s="135"/>
      <c r="M58" s="135"/>
      <c r="N58" s="109"/>
      <c r="O58" s="111">
        <f t="shared" si="2"/>
        <v>71085.009999999995</v>
      </c>
      <c r="P58" s="112"/>
      <c r="Q58" s="112"/>
      <c r="R58" s="136"/>
      <c r="S58" s="114"/>
      <c r="T58" s="138">
        <v>42674</v>
      </c>
      <c r="U58" s="116">
        <v>71085.009999999995</v>
      </c>
      <c r="V58" s="126">
        <f t="shared" ref="V58:V63" si="7">U58/O58</f>
        <v>1</v>
      </c>
      <c r="W58" s="118"/>
    </row>
    <row r="59" spans="1:23" s="33" customFormat="1" ht="20.100000000000001" customHeight="1">
      <c r="A59" s="16">
        <v>53</v>
      </c>
      <c r="B59" s="130" t="s">
        <v>233</v>
      </c>
      <c r="C59" s="131" t="s">
        <v>127</v>
      </c>
      <c r="D59" s="132"/>
      <c r="E59" s="133" t="s">
        <v>176</v>
      </c>
      <c r="F59" s="140">
        <v>1267541.3700000001</v>
      </c>
      <c r="G59" s="141">
        <v>15946132.76</v>
      </c>
      <c r="H59" s="135"/>
      <c r="I59" s="109"/>
      <c r="J59" s="135"/>
      <c r="K59" s="135"/>
      <c r="L59" s="135"/>
      <c r="M59" s="135"/>
      <c r="N59" s="109"/>
      <c r="O59" s="111">
        <f t="shared" si="2"/>
        <v>15946132.76</v>
      </c>
      <c r="P59" s="112"/>
      <c r="Q59" s="112"/>
      <c r="R59" s="136"/>
      <c r="S59" s="114"/>
      <c r="T59" s="138" t="s">
        <v>234</v>
      </c>
      <c r="U59" s="116">
        <v>3620000</v>
      </c>
      <c r="V59" s="126">
        <f t="shared" si="7"/>
        <v>0.22701428957625208</v>
      </c>
      <c r="W59" s="118"/>
    </row>
    <row r="60" spans="1:23" s="33" customFormat="1" ht="20.100000000000001" customHeight="1">
      <c r="A60" s="16">
        <v>54</v>
      </c>
      <c r="B60" s="130" t="s">
        <v>235</v>
      </c>
      <c r="C60" s="131" t="s">
        <v>173</v>
      </c>
      <c r="D60" s="106"/>
      <c r="E60" s="133" t="s">
        <v>134</v>
      </c>
      <c r="F60" s="190">
        <v>1063.3800000000001</v>
      </c>
      <c r="G60" s="141">
        <v>1206097.7</v>
      </c>
      <c r="H60" s="135"/>
      <c r="I60" s="109"/>
      <c r="J60" s="135"/>
      <c r="K60" s="135"/>
      <c r="L60" s="135"/>
      <c r="M60" s="135"/>
      <c r="N60" s="109"/>
      <c r="O60" s="111">
        <v>1165849.23</v>
      </c>
      <c r="P60" s="136" t="s">
        <v>130</v>
      </c>
      <c r="Q60" s="114"/>
      <c r="R60" s="136"/>
      <c r="S60" s="114"/>
      <c r="T60" s="115">
        <v>42674</v>
      </c>
      <c r="U60" s="116">
        <v>128914.99</v>
      </c>
      <c r="V60" s="126">
        <f t="shared" si="7"/>
        <v>0.11057603906467392</v>
      </c>
    </row>
    <row r="61" spans="1:23" s="33" customFormat="1" ht="20.100000000000001" customHeight="1">
      <c r="A61" s="16">
        <v>55</v>
      </c>
      <c r="B61" s="130" t="s">
        <v>236</v>
      </c>
      <c r="C61" s="131" t="s">
        <v>173</v>
      </c>
      <c r="D61" s="106"/>
      <c r="E61" s="133" t="s">
        <v>204</v>
      </c>
      <c r="F61" s="190">
        <v>75195.31</v>
      </c>
      <c r="G61" s="141">
        <v>1387104</v>
      </c>
      <c r="H61" s="135"/>
      <c r="I61" s="109"/>
      <c r="J61" s="135"/>
      <c r="K61" s="135"/>
      <c r="L61" s="135"/>
      <c r="M61" s="135"/>
      <c r="N61" s="109"/>
      <c r="O61" s="111">
        <f>G61+H61+J61+K61+L61+M61</f>
        <v>1387104</v>
      </c>
      <c r="P61" s="112"/>
      <c r="Q61" s="112"/>
      <c r="R61" s="136" t="s">
        <v>186</v>
      </c>
      <c r="S61" s="114"/>
      <c r="T61" s="115"/>
      <c r="U61" s="116"/>
      <c r="V61" s="126">
        <f t="shared" si="7"/>
        <v>0</v>
      </c>
      <c r="W61" s="118"/>
    </row>
    <row r="62" spans="1:23" s="33" customFormat="1" ht="20.100000000000001" customHeight="1">
      <c r="A62" s="16">
        <v>56</v>
      </c>
      <c r="B62" s="130" t="s">
        <v>237</v>
      </c>
      <c r="C62" s="131" t="s">
        <v>173</v>
      </c>
      <c r="D62" s="158"/>
      <c r="E62" s="159" t="s">
        <v>134</v>
      </c>
      <c r="F62" s="160"/>
      <c r="G62" s="142">
        <v>6469135.0999999996</v>
      </c>
      <c r="H62" s="135"/>
      <c r="I62" s="109"/>
      <c r="J62" s="135"/>
      <c r="K62" s="135"/>
      <c r="L62" s="135"/>
      <c r="M62" s="135"/>
      <c r="N62" s="109"/>
      <c r="O62" s="111">
        <f>G62+H62+J62+K62+L62+M62</f>
        <v>6469135.0999999996</v>
      </c>
      <c r="P62" s="114"/>
      <c r="Q62" s="112"/>
      <c r="R62" s="136"/>
      <c r="S62" s="114"/>
      <c r="T62" s="138" t="s">
        <v>234</v>
      </c>
      <c r="U62" s="144">
        <v>1570000</v>
      </c>
      <c r="V62" s="126">
        <f t="shared" si="7"/>
        <v>0.24269086604792039</v>
      </c>
      <c r="W62" s="118"/>
    </row>
    <row r="63" spans="1:23" s="33" customFormat="1" ht="20.100000000000001" customHeight="1">
      <c r="A63" s="16">
        <v>57</v>
      </c>
      <c r="B63" s="130" t="s">
        <v>238</v>
      </c>
      <c r="C63" s="131" t="s">
        <v>173</v>
      </c>
      <c r="D63" s="145"/>
      <c r="E63" s="159" t="s">
        <v>239</v>
      </c>
      <c r="F63" s="160">
        <v>654181.41</v>
      </c>
      <c r="G63" s="142">
        <v>3287431.27</v>
      </c>
      <c r="H63" s="135"/>
      <c r="I63" s="109"/>
      <c r="J63" s="135"/>
      <c r="K63" s="135"/>
      <c r="L63" s="135"/>
      <c r="M63" s="135"/>
      <c r="N63" s="109"/>
      <c r="O63" s="111">
        <f>G63+H63+J63+K63+L63+M63</f>
        <v>3287431.27</v>
      </c>
      <c r="P63" s="114"/>
      <c r="Q63" s="112"/>
      <c r="R63" s="136"/>
      <c r="S63" s="114"/>
      <c r="T63" s="138" t="s">
        <v>234</v>
      </c>
      <c r="U63" s="144">
        <v>700000</v>
      </c>
      <c r="V63" s="126">
        <f t="shared" si="7"/>
        <v>0.21293220831351403</v>
      </c>
      <c r="W63" s="118"/>
    </row>
    <row r="64" spans="1:23" s="33" customFormat="1" ht="20.100000000000001" customHeight="1">
      <c r="A64" s="16">
        <v>58</v>
      </c>
      <c r="B64" s="130" t="s">
        <v>240</v>
      </c>
      <c r="C64" s="131" t="s">
        <v>173</v>
      </c>
      <c r="D64" s="132"/>
      <c r="E64" s="133" t="s">
        <v>214</v>
      </c>
      <c r="F64" s="153"/>
      <c r="G64" s="149"/>
      <c r="H64" s="135"/>
      <c r="I64" s="109"/>
      <c r="J64" s="135"/>
      <c r="K64" s="135"/>
      <c r="L64" s="135">
        <v>147380.66</v>
      </c>
      <c r="M64" s="135"/>
      <c r="N64" s="109"/>
      <c r="O64" s="111">
        <f>G64+H64+J64+K64+L64+M64</f>
        <v>147380.66</v>
      </c>
      <c r="P64" s="112"/>
      <c r="Q64" s="112"/>
      <c r="R64" s="136"/>
      <c r="S64" s="114"/>
      <c r="T64" s="116"/>
      <c r="U64" s="116"/>
      <c r="V64" s="121"/>
      <c r="W64" s="118"/>
    </row>
    <row r="65" spans="1:23" s="170" customFormat="1" ht="20.100000000000001" customHeight="1">
      <c r="A65" s="157">
        <v>59</v>
      </c>
      <c r="B65" s="130" t="s">
        <v>241</v>
      </c>
      <c r="C65" s="131" t="s">
        <v>173</v>
      </c>
      <c r="D65" s="158"/>
      <c r="E65" s="159" t="s">
        <v>239</v>
      </c>
      <c r="F65" s="160"/>
      <c r="G65" s="161">
        <v>106128.4</v>
      </c>
      <c r="H65" s="161"/>
      <c r="I65" s="109"/>
      <c r="J65" s="161"/>
      <c r="K65" s="161"/>
      <c r="L65" s="161"/>
      <c r="M65" s="161"/>
      <c r="N65" s="109"/>
      <c r="O65" s="162"/>
      <c r="P65" s="163"/>
      <c r="Q65" s="164"/>
      <c r="R65" s="165"/>
      <c r="S65" s="166"/>
      <c r="T65" s="167"/>
      <c r="U65" s="168"/>
      <c r="V65" s="191"/>
      <c r="W65" s="169"/>
    </row>
    <row r="66" spans="1:23" s="33" customFormat="1" ht="20.100000000000001" customHeight="1">
      <c r="A66" s="50"/>
      <c r="B66" s="171" t="s">
        <v>230</v>
      </c>
      <c r="C66" s="52"/>
      <c r="D66" s="53"/>
      <c r="E66" s="54"/>
      <c r="F66" s="172"/>
      <c r="G66" s="173"/>
      <c r="H66" s="174"/>
      <c r="I66" s="174"/>
      <c r="J66" s="174"/>
      <c r="K66" s="174"/>
      <c r="L66" s="174"/>
      <c r="M66" s="174"/>
      <c r="N66" s="174"/>
      <c r="O66" s="175"/>
      <c r="P66" s="176"/>
      <c r="Q66" s="176"/>
      <c r="R66" s="177"/>
      <c r="S66" s="178"/>
      <c r="T66" s="176"/>
      <c r="U66" s="176"/>
      <c r="V66" s="179"/>
      <c r="W66" s="118"/>
    </row>
    <row r="67" spans="1:23" s="203" customFormat="1" ht="20.100000000000001" customHeight="1">
      <c r="A67" s="192"/>
      <c r="B67" s="193" t="s">
        <v>242</v>
      </c>
      <c r="C67" s="194"/>
      <c r="D67" s="195"/>
      <c r="E67" s="196"/>
      <c r="F67" s="197">
        <f t="shared" ref="F67:O67" si="8">SUM(F57:F66)</f>
        <v>1997981.4700000002</v>
      </c>
      <c r="G67" s="198">
        <f t="shared" si="8"/>
        <v>28473114.239999998</v>
      </c>
      <c r="H67" s="198">
        <f t="shared" si="8"/>
        <v>0</v>
      </c>
      <c r="I67" s="198">
        <f t="shared" si="8"/>
        <v>0</v>
      </c>
      <c r="J67" s="198">
        <f t="shared" si="8"/>
        <v>0</v>
      </c>
      <c r="K67" s="198">
        <f t="shared" si="8"/>
        <v>0</v>
      </c>
      <c r="L67" s="198">
        <f t="shared" si="8"/>
        <v>147380.66</v>
      </c>
      <c r="M67" s="198">
        <f t="shared" si="8"/>
        <v>0</v>
      </c>
      <c r="N67" s="198">
        <f t="shared" si="8"/>
        <v>0</v>
      </c>
      <c r="O67" s="198">
        <f t="shared" si="8"/>
        <v>28474118.030000001</v>
      </c>
      <c r="P67" s="163"/>
      <c r="Q67" s="164"/>
      <c r="R67" s="199"/>
      <c r="S67" s="163"/>
      <c r="T67" s="200"/>
      <c r="U67" s="201"/>
      <c r="V67" s="202"/>
      <c r="W67" s="118"/>
    </row>
    <row r="68" spans="1:23" s="33" customFormat="1" ht="20.100000000000001" customHeight="1">
      <c r="A68" s="16">
        <v>60</v>
      </c>
      <c r="B68" s="139" t="s">
        <v>243</v>
      </c>
      <c r="C68" s="131" t="s">
        <v>173</v>
      </c>
      <c r="D68" s="152" t="s">
        <v>221</v>
      </c>
      <c r="E68" s="133"/>
      <c r="F68" s="140"/>
      <c r="G68" s="40"/>
      <c r="H68" s="153">
        <v>3474.88</v>
      </c>
      <c r="I68" s="109">
        <f>IF((G68+H68-U68)*0.01&gt;0,(G68+H68-U68)*0.01,"")</f>
        <v>34.748800000000003</v>
      </c>
      <c r="J68" s="135"/>
      <c r="K68" s="153"/>
      <c r="L68" s="135"/>
      <c r="M68" s="135"/>
      <c r="N68" s="109">
        <f t="shared" ref="N68:N70" si="9">(J68+K68+L68+M68)*0.015</f>
        <v>0</v>
      </c>
      <c r="O68" s="111">
        <f>G68+H68+J68+K68+L68+M68</f>
        <v>3474.88</v>
      </c>
      <c r="P68" s="112"/>
      <c r="Q68" s="112"/>
      <c r="R68" s="136" t="s">
        <v>244</v>
      </c>
      <c r="S68" s="114" t="s">
        <v>186</v>
      </c>
      <c r="T68" s="115"/>
      <c r="U68" s="116"/>
      <c r="V68" s="126"/>
      <c r="W68" s="118"/>
    </row>
    <row r="69" spans="1:23" s="33" customFormat="1" ht="20.100000000000001" customHeight="1">
      <c r="A69" s="16">
        <v>61</v>
      </c>
      <c r="B69" s="123" t="s">
        <v>245</v>
      </c>
      <c r="C69" s="18" t="s">
        <v>127</v>
      </c>
      <c r="D69" s="146"/>
      <c r="E69" s="18" t="s">
        <v>151</v>
      </c>
      <c r="F69" s="148"/>
      <c r="G69" s="108"/>
      <c r="H69" s="25">
        <v>209144.35</v>
      </c>
      <c r="I69" s="109">
        <f t="shared" ref="I69:I70" si="10">IF((G69+H69-U69)*0.01&gt;0,(G69+H69-U69)*0.01,"")</f>
        <v>2091.4435000000003</v>
      </c>
      <c r="J69" s="110"/>
      <c r="K69" s="110"/>
      <c r="L69" s="22"/>
      <c r="M69" s="22">
        <v>15734.3</v>
      </c>
      <c r="N69" s="109">
        <f t="shared" si="9"/>
        <v>236.01449999999997</v>
      </c>
      <c r="O69" s="111">
        <f t="shared" ref="O69" si="11">G69+H69+J69+K69+L69+M69</f>
        <v>224878.65</v>
      </c>
      <c r="P69" s="112" t="s">
        <v>246</v>
      </c>
      <c r="Q69" s="112"/>
      <c r="R69" s="113" t="s">
        <v>186</v>
      </c>
      <c r="S69" s="114"/>
      <c r="T69" s="116"/>
      <c r="U69" s="116"/>
      <c r="V69" s="137"/>
      <c r="W69" s="118"/>
    </row>
    <row r="70" spans="1:23" s="33" customFormat="1" ht="20.100000000000001" customHeight="1">
      <c r="A70" s="16">
        <v>62</v>
      </c>
      <c r="B70" s="147" t="s">
        <v>247</v>
      </c>
      <c r="C70" s="18" t="s">
        <v>127</v>
      </c>
      <c r="D70" s="146"/>
      <c r="E70" s="18" t="s">
        <v>248</v>
      </c>
      <c r="F70" s="22"/>
      <c r="G70" s="108"/>
      <c r="H70" s="25">
        <v>211665.46</v>
      </c>
      <c r="I70" s="109">
        <f t="shared" si="10"/>
        <v>2116.6545999999998</v>
      </c>
      <c r="J70" s="110"/>
      <c r="K70" s="110"/>
      <c r="L70" s="25">
        <v>17224</v>
      </c>
      <c r="M70" s="25">
        <v>64519.71</v>
      </c>
      <c r="N70" s="109">
        <f t="shared" si="9"/>
        <v>1226.1556499999999</v>
      </c>
      <c r="O70" s="111">
        <f>G70+H70+J70+K70+L70+M70</f>
        <v>293409.17</v>
      </c>
      <c r="P70" s="112" t="s">
        <v>249</v>
      </c>
      <c r="Q70" s="112"/>
      <c r="R70" s="113" t="s">
        <v>197</v>
      </c>
      <c r="S70" s="114"/>
      <c r="T70" s="143"/>
      <c r="U70" s="144"/>
      <c r="V70" s="126"/>
      <c r="W70" s="118"/>
    </row>
    <row r="71" spans="1:23" s="33" customFormat="1" ht="20.100000000000001" customHeight="1">
      <c r="A71" s="50"/>
      <c r="B71" s="171" t="s">
        <v>230</v>
      </c>
      <c r="C71" s="52"/>
      <c r="D71" s="53"/>
      <c r="E71" s="54"/>
      <c r="F71" s="172"/>
      <c r="G71" s="173"/>
      <c r="H71" s="174"/>
      <c r="I71" s="174"/>
      <c r="J71" s="174"/>
      <c r="K71" s="174"/>
      <c r="L71" s="174"/>
      <c r="M71" s="174"/>
      <c r="N71" s="174"/>
      <c r="O71" s="175"/>
      <c r="P71" s="176"/>
      <c r="Q71" s="176"/>
      <c r="R71" s="177"/>
      <c r="S71" s="178"/>
      <c r="T71" s="176"/>
      <c r="U71" s="176"/>
      <c r="V71" s="179"/>
    </row>
    <row r="72" spans="1:23" s="90" customFormat="1" ht="20.100000000000001" customHeight="1">
      <c r="A72" s="204"/>
      <c r="B72" s="205" t="s">
        <v>250</v>
      </c>
      <c r="C72" s="205"/>
      <c r="D72" s="206"/>
      <c r="E72" s="205"/>
      <c r="F72" s="207">
        <f t="shared" ref="F72:O72" si="12">F56+F67+F68+F70</f>
        <v>3085725.8600000003</v>
      </c>
      <c r="G72" s="208">
        <f t="shared" si="12"/>
        <v>29513546.049999997</v>
      </c>
      <c r="H72" s="208">
        <f t="shared" si="12"/>
        <v>229611.94999999998</v>
      </c>
      <c r="I72" s="208">
        <f t="shared" si="12"/>
        <v>8878.4278000000013</v>
      </c>
      <c r="J72" s="208">
        <f t="shared" si="12"/>
        <v>0</v>
      </c>
      <c r="K72" s="208">
        <f t="shared" si="12"/>
        <v>0</v>
      </c>
      <c r="L72" s="208">
        <f t="shared" si="12"/>
        <v>377809.33</v>
      </c>
      <c r="M72" s="208">
        <f t="shared" si="12"/>
        <v>76381.09</v>
      </c>
      <c r="N72" s="208">
        <f t="shared" si="12"/>
        <v>2879.5099499999997</v>
      </c>
      <c r="O72" s="208">
        <f t="shared" si="12"/>
        <v>30022109.640000001</v>
      </c>
      <c r="P72" s="164"/>
      <c r="Q72" s="164"/>
      <c r="R72" s="164"/>
      <c r="S72" s="164"/>
      <c r="T72" s="164"/>
      <c r="U72" s="164"/>
      <c r="V72" s="209"/>
    </row>
    <row r="73" spans="1:23" s="219" customFormat="1" ht="20.100000000000001" customHeight="1">
      <c r="A73" s="210"/>
      <c r="B73" s="211"/>
      <c r="C73" s="211"/>
      <c r="D73" s="212"/>
      <c r="E73" s="211"/>
      <c r="F73" s="213"/>
      <c r="G73" s="214"/>
      <c r="H73" s="213"/>
      <c r="I73" s="215"/>
      <c r="J73" s="213"/>
      <c r="K73" s="213"/>
      <c r="L73" s="213"/>
      <c r="M73" s="213"/>
      <c r="N73" s="216"/>
      <c r="O73" s="213"/>
      <c r="P73" s="217"/>
      <c r="Q73" s="217"/>
      <c r="R73" s="217"/>
      <c r="S73" s="217"/>
      <c r="T73" s="217"/>
      <c r="U73" s="217"/>
      <c r="V73" s="218"/>
    </row>
    <row r="74" spans="1:23" s="219" customFormat="1" ht="20.100000000000001" customHeight="1">
      <c r="A74" s="210"/>
      <c r="B74" s="211"/>
      <c r="C74" s="211"/>
      <c r="D74" s="212"/>
      <c r="E74" s="211"/>
      <c r="F74" s="213"/>
      <c r="G74" s="214"/>
      <c r="H74" s="213"/>
      <c r="I74" s="215"/>
      <c r="J74" s="213"/>
      <c r="K74" s="213"/>
      <c r="L74" s="213"/>
      <c r="M74" s="213"/>
      <c r="N74" s="216"/>
      <c r="O74" s="213"/>
      <c r="P74" s="217"/>
      <c r="Q74" s="217"/>
      <c r="R74" s="217"/>
      <c r="S74" s="217"/>
      <c r="T74" s="217"/>
      <c r="U74" s="217"/>
      <c r="V74" s="218"/>
    </row>
    <row r="75" spans="1:23" s="91" customFormat="1" ht="20.100000000000001" customHeight="1">
      <c r="A75" s="220" t="s">
        <v>251</v>
      </c>
      <c r="B75" s="220"/>
      <c r="C75" s="220"/>
      <c r="D75" s="220"/>
      <c r="E75" s="220"/>
      <c r="F75" s="220"/>
      <c r="G75" s="220"/>
      <c r="H75" s="220"/>
      <c r="I75" s="220"/>
      <c r="J75" s="220"/>
      <c r="K75" s="220"/>
      <c r="L75" s="220"/>
      <c r="M75" s="220"/>
      <c r="N75" s="220"/>
      <c r="O75" s="220"/>
      <c r="P75" s="220"/>
      <c r="Q75" s="220"/>
      <c r="R75" s="220"/>
      <c r="S75" s="220"/>
      <c r="T75" s="220"/>
      <c r="U75" s="220"/>
      <c r="V75" s="220"/>
    </row>
    <row r="76" spans="1:23" s="91" customFormat="1" ht="20.100000000000001" customHeight="1">
      <c r="A76" s="251" t="s">
        <v>252</v>
      </c>
      <c r="B76" s="251"/>
      <c r="C76" s="251"/>
      <c r="D76" s="251"/>
      <c r="E76" s="251"/>
      <c r="F76" s="251"/>
      <c r="G76" s="251"/>
      <c r="H76" s="251"/>
      <c r="I76" s="251"/>
      <c r="J76" s="251"/>
      <c r="K76" s="251"/>
      <c r="L76" s="251"/>
      <c r="M76" s="251"/>
      <c r="N76" s="251"/>
      <c r="O76" s="92"/>
      <c r="P76" s="93"/>
      <c r="Q76" s="93"/>
      <c r="R76" s="93"/>
      <c r="S76" s="93"/>
      <c r="T76" s="93"/>
      <c r="U76" s="93"/>
      <c r="V76" s="93"/>
    </row>
    <row r="77" spans="1:23" s="91" customFormat="1" ht="20.100000000000001" customHeight="1">
      <c r="A77" s="251" t="s">
        <v>253</v>
      </c>
      <c r="B77" s="251"/>
      <c r="C77" s="251"/>
      <c r="D77" s="251"/>
      <c r="E77" s="251"/>
      <c r="F77" s="251"/>
      <c r="G77" s="251"/>
      <c r="H77" s="251"/>
      <c r="I77" s="251"/>
      <c r="J77" s="251"/>
      <c r="K77" s="251"/>
      <c r="L77" s="251"/>
      <c r="M77" s="251"/>
      <c r="N77" s="251"/>
      <c r="O77" s="92"/>
      <c r="P77" s="93"/>
      <c r="Q77" s="93"/>
      <c r="R77" s="93"/>
      <c r="S77" s="93"/>
      <c r="T77" s="93"/>
      <c r="U77" s="93"/>
      <c r="V77" s="93"/>
    </row>
    <row r="78" spans="1:23" ht="20.100000000000001" customHeight="1">
      <c r="A78" s="94" t="s">
        <v>254</v>
      </c>
      <c r="C78" s="95"/>
      <c r="D78" s="5"/>
      <c r="E78" s="5"/>
      <c r="F78" s="221"/>
      <c r="G78" s="222"/>
      <c r="H78" s="5"/>
      <c r="J78" s="5"/>
      <c r="K78" s="5"/>
      <c r="L78" s="5"/>
      <c r="M78" s="5"/>
      <c r="P78" s="2"/>
      <c r="Q78" s="2"/>
      <c r="R78" s="2"/>
      <c r="S78" s="96"/>
      <c r="T78" s="96"/>
      <c r="U78" s="96"/>
      <c r="V78" s="96"/>
    </row>
    <row r="79" spans="1:23" ht="20.100000000000001" customHeight="1">
      <c r="A79" s="94" t="s">
        <v>255</v>
      </c>
      <c r="C79" s="95"/>
      <c r="D79" s="5"/>
      <c r="E79" s="5"/>
      <c r="F79" s="221"/>
      <c r="G79" s="222"/>
      <c r="H79" s="5"/>
      <c r="J79" s="5"/>
      <c r="K79" s="5"/>
      <c r="L79" s="5"/>
      <c r="M79" s="5"/>
      <c r="P79" s="2"/>
      <c r="Q79" s="2"/>
      <c r="R79" s="2"/>
      <c r="S79" s="97"/>
      <c r="T79" s="97"/>
      <c r="U79" s="97"/>
      <c r="V79" s="97"/>
    </row>
    <row r="80" spans="1:23" ht="20.100000000000001" customHeight="1">
      <c r="P80" s="2"/>
      <c r="Q80" s="2"/>
      <c r="R80" s="2"/>
      <c r="S80" s="97"/>
      <c r="T80" s="97"/>
      <c r="U80" s="97"/>
      <c r="V80" s="97"/>
    </row>
    <row r="81" spans="16:22" ht="20.100000000000001" customHeight="1">
      <c r="P81" s="2"/>
      <c r="Q81" s="2"/>
      <c r="R81" s="2"/>
      <c r="S81" s="97"/>
      <c r="T81" s="97"/>
      <c r="U81" s="97"/>
      <c r="V81" s="97"/>
    </row>
    <row r="82" spans="16:22" ht="20.100000000000001" customHeight="1">
      <c r="P82" s="2"/>
      <c r="Q82" s="2"/>
      <c r="R82" s="2"/>
    </row>
  </sheetData>
  <autoFilter ref="A4:V79"/>
  <mergeCells count="18">
    <mergeCell ref="A76:N76"/>
    <mergeCell ref="A77:N77"/>
    <mergeCell ref="J3:K3"/>
    <mergeCell ref="L3:M3"/>
    <mergeCell ref="N3:N4"/>
    <mergeCell ref="O3:O4"/>
    <mergeCell ref="P3:S3"/>
    <mergeCell ref="T3:V3"/>
    <mergeCell ref="A1:U1"/>
    <mergeCell ref="A2:E2"/>
    <mergeCell ref="A3:A4"/>
    <mergeCell ref="B3:B4"/>
    <mergeCell ref="C3:C4"/>
    <mergeCell ref="D3:D4"/>
    <mergeCell ref="E3:E4"/>
    <mergeCell ref="F3:F4"/>
    <mergeCell ref="G3:H3"/>
    <mergeCell ref="I3:I4"/>
  </mergeCells>
  <phoneticPr fontId="3" type="noConversion"/>
  <printOptions horizontalCentered="1"/>
  <pageMargins left="0" right="0.11811023622047245" top="0.47244094488188981" bottom="0.35433070866141736" header="0.31496062992125984" footer="0.31496062992125984"/>
  <pageSetup paperSize="9" scale="88" orientation="landscape" horizontalDpi="200" verticalDpi="200" r:id="rId1"/>
  <legacyDrawing r:id="rId2"/>
</worksheet>
</file>

<file path=xl/worksheets/sheet2.xml><?xml version="1.0" encoding="utf-8"?>
<worksheet xmlns="http://schemas.openxmlformats.org/spreadsheetml/2006/main" xmlns:r="http://schemas.openxmlformats.org/officeDocument/2006/relationships">
  <sheetPr codeName="Sheet3"/>
  <dimension ref="A1:W70"/>
  <sheetViews>
    <sheetView workbookViewId="0">
      <pane xSplit="2" ySplit="4" topLeftCell="F11" activePane="bottomRight" state="frozen"/>
      <selection pane="topRight" activeCell="C1" sqref="C1"/>
      <selection pane="bottomLeft" activeCell="A5" sqref="A5"/>
      <selection pane="bottomRight" activeCell="A70" sqref="A70"/>
    </sheetView>
  </sheetViews>
  <sheetFormatPr defaultColWidth="7.75" defaultRowHeight="15" customHeight="1"/>
  <cols>
    <col min="1" max="1" width="4.75" style="2" customWidth="1"/>
    <col min="2" max="2" width="20.5" style="98" customWidth="1"/>
    <col min="3" max="3" width="7.5" style="98" customWidth="1"/>
    <col min="4" max="5" width="7.75" style="2"/>
    <col min="6" max="6" width="12.75" style="2" customWidth="1"/>
    <col min="7" max="7" width="12.5" style="2" customWidth="1"/>
    <col min="8" max="8" width="11.25" style="2" customWidth="1"/>
    <col min="9" max="9" width="10.25" style="5" customWidth="1"/>
    <col min="10" max="10" width="11.5" style="2" customWidth="1"/>
    <col min="11" max="11" width="9.5" style="2" customWidth="1"/>
    <col min="12" max="12" width="11.75" style="2" customWidth="1"/>
    <col min="13" max="13" width="10.25" style="2" customWidth="1"/>
    <col min="14" max="14" width="9.375" style="5" customWidth="1"/>
    <col min="15" max="15" width="12.125" style="5" customWidth="1"/>
    <col min="16" max="16" width="8.75" style="99" hidden="1" customWidth="1"/>
    <col min="17" max="17" width="8.875" style="99" hidden="1" customWidth="1"/>
    <col min="18" max="18" width="8.5" style="99" customWidth="1"/>
    <col min="19" max="19" width="6.625" style="99" customWidth="1"/>
    <col min="20" max="20" width="10.625" style="99" customWidth="1"/>
    <col min="21" max="22" width="8.75" style="99" customWidth="1"/>
    <col min="23" max="23" width="17.875" style="2" customWidth="1"/>
    <col min="24" max="16384" width="7.75" style="2"/>
  </cols>
  <sheetData>
    <row r="1" spans="1:23" ht="16.5" customHeight="1">
      <c r="A1" s="232" t="s">
        <v>0</v>
      </c>
      <c r="B1" s="232"/>
      <c r="C1" s="232"/>
      <c r="D1" s="232"/>
      <c r="E1" s="232"/>
      <c r="F1" s="232"/>
      <c r="G1" s="232"/>
      <c r="H1" s="232"/>
      <c r="I1" s="232"/>
      <c r="J1" s="232"/>
      <c r="K1" s="232"/>
      <c r="L1" s="232"/>
      <c r="M1" s="232"/>
      <c r="N1" s="232"/>
      <c r="O1" s="232"/>
      <c r="P1" s="232"/>
      <c r="Q1" s="232"/>
      <c r="R1" s="232"/>
      <c r="S1" s="232"/>
      <c r="T1" s="232"/>
      <c r="U1" s="232"/>
      <c r="V1" s="1"/>
    </row>
    <row r="2" spans="1:23" ht="20.25" customHeight="1">
      <c r="A2" s="234" t="s">
        <v>1</v>
      </c>
      <c r="B2" s="234"/>
      <c r="C2" s="234"/>
      <c r="D2" s="234"/>
      <c r="E2" s="234"/>
      <c r="F2" s="3"/>
      <c r="G2" s="4"/>
      <c r="J2" s="2" t="s">
        <v>2</v>
      </c>
      <c r="K2" s="6"/>
      <c r="L2" s="7"/>
      <c r="M2" s="7"/>
      <c r="N2" s="8"/>
      <c r="O2" s="8"/>
      <c r="P2" s="9"/>
      <c r="Q2" s="9"/>
      <c r="R2" s="9"/>
      <c r="S2" s="9"/>
      <c r="T2" s="9"/>
      <c r="U2" s="9"/>
      <c r="V2" s="9"/>
    </row>
    <row r="3" spans="1:23" s="10" customFormat="1" ht="22.5" customHeight="1">
      <c r="A3" s="236" t="s">
        <v>3</v>
      </c>
      <c r="B3" s="240" t="s">
        <v>4</v>
      </c>
      <c r="C3" s="240" t="s">
        <v>5</v>
      </c>
      <c r="D3" s="242" t="s">
        <v>6</v>
      </c>
      <c r="E3" s="244" t="s">
        <v>7</v>
      </c>
      <c r="F3" s="246" t="s">
        <v>8</v>
      </c>
      <c r="G3" s="254" t="s">
        <v>9</v>
      </c>
      <c r="H3" s="254"/>
      <c r="I3" s="249" t="s">
        <v>10</v>
      </c>
      <c r="J3" s="252" t="s">
        <v>11</v>
      </c>
      <c r="K3" s="253"/>
      <c r="L3" s="252" t="s">
        <v>12</v>
      </c>
      <c r="M3" s="253"/>
      <c r="N3" s="249" t="s">
        <v>13</v>
      </c>
      <c r="O3" s="228" t="s">
        <v>14</v>
      </c>
      <c r="P3" s="230" t="s">
        <v>15</v>
      </c>
      <c r="Q3" s="230"/>
      <c r="R3" s="230"/>
      <c r="S3" s="230"/>
      <c r="T3" s="231" t="s">
        <v>16</v>
      </c>
      <c r="U3" s="231"/>
      <c r="V3" s="231"/>
    </row>
    <row r="4" spans="1:23" s="10" customFormat="1" ht="22.5" customHeight="1">
      <c r="A4" s="237"/>
      <c r="B4" s="241"/>
      <c r="C4" s="241"/>
      <c r="D4" s="243"/>
      <c r="E4" s="245"/>
      <c r="F4" s="247"/>
      <c r="G4" s="11" t="s">
        <v>17</v>
      </c>
      <c r="H4" s="11" t="s">
        <v>18</v>
      </c>
      <c r="I4" s="250"/>
      <c r="J4" s="11" t="s">
        <v>17</v>
      </c>
      <c r="K4" s="11" t="s">
        <v>18</v>
      </c>
      <c r="L4" s="11" t="s">
        <v>17</v>
      </c>
      <c r="M4" s="11" t="s">
        <v>18</v>
      </c>
      <c r="N4" s="250"/>
      <c r="O4" s="229"/>
      <c r="P4" s="12" t="s">
        <v>19</v>
      </c>
      <c r="Q4" s="12" t="s">
        <v>20</v>
      </c>
      <c r="R4" s="13" t="s">
        <v>21</v>
      </c>
      <c r="S4" s="13" t="s">
        <v>22</v>
      </c>
      <c r="T4" s="14" t="s">
        <v>23</v>
      </c>
      <c r="U4" s="14" t="s">
        <v>24</v>
      </c>
      <c r="V4" s="15" t="s">
        <v>25</v>
      </c>
    </row>
    <row r="5" spans="1:23" s="31" customFormat="1" ht="14.25" customHeight="1">
      <c r="A5" s="16">
        <v>1</v>
      </c>
      <c r="B5" s="17" t="s">
        <v>26</v>
      </c>
      <c r="C5" s="18" t="s">
        <v>27</v>
      </c>
      <c r="D5" s="19"/>
      <c r="E5" s="20" t="s">
        <v>28</v>
      </c>
      <c r="F5" s="21">
        <v>0</v>
      </c>
      <c r="G5" s="11"/>
      <c r="H5" s="22"/>
      <c r="I5" s="23" t="str">
        <f t="shared" ref="I5:I40" si="0">IF((G5+H5-U5)*0.01&gt;0,(G5+H5-U5)*0.01,"")</f>
        <v/>
      </c>
      <c r="J5" s="24"/>
      <c r="K5" s="24"/>
      <c r="L5" s="25"/>
      <c r="M5" s="22"/>
      <c r="N5" s="26">
        <f t="shared" ref="N5:N31" si="1">(J5+K5+L5+M5)*0.015</f>
        <v>0</v>
      </c>
      <c r="O5" s="27">
        <f t="shared" ref="O5:O39" si="2">G5+H5+J5+K5+L5+M5</f>
        <v>0</v>
      </c>
      <c r="P5" s="12"/>
      <c r="Q5" s="12"/>
      <c r="R5" s="28" t="s">
        <v>29</v>
      </c>
      <c r="S5" s="29"/>
      <c r="T5" s="14"/>
      <c r="U5" s="14"/>
      <c r="V5" s="30" t="e">
        <f t="shared" ref="V5:V39" si="3">U5/O5</f>
        <v>#DIV/0!</v>
      </c>
    </row>
    <row r="6" spans="1:23" s="33" customFormat="1" ht="14.25" customHeight="1">
      <c r="A6" s="16">
        <v>2</v>
      </c>
      <c r="B6" s="17" t="s">
        <v>30</v>
      </c>
      <c r="C6" s="18" t="s">
        <v>27</v>
      </c>
      <c r="D6" s="19"/>
      <c r="E6" s="20" t="s">
        <v>28</v>
      </c>
      <c r="F6" s="21">
        <v>367.5</v>
      </c>
      <c r="G6" s="21"/>
      <c r="H6" s="22"/>
      <c r="I6" s="23" t="str">
        <f t="shared" si="0"/>
        <v/>
      </c>
      <c r="J6" s="24"/>
      <c r="K6" s="24"/>
      <c r="L6" s="25"/>
      <c r="M6" s="22"/>
      <c r="N6" s="26">
        <f t="shared" si="1"/>
        <v>0</v>
      </c>
      <c r="O6" s="27">
        <f t="shared" si="2"/>
        <v>0</v>
      </c>
      <c r="P6" s="12"/>
      <c r="Q6" s="12"/>
      <c r="R6" s="28" t="s">
        <v>29</v>
      </c>
      <c r="S6" s="29"/>
      <c r="T6" s="32"/>
      <c r="U6" s="14"/>
      <c r="V6" s="30" t="e">
        <f t="shared" si="3"/>
        <v>#DIV/0!</v>
      </c>
    </row>
    <row r="7" spans="1:23" s="33" customFormat="1" ht="14.25" customHeight="1">
      <c r="A7" s="16">
        <v>3</v>
      </c>
      <c r="B7" s="17" t="s">
        <v>31</v>
      </c>
      <c r="C7" s="18" t="s">
        <v>27</v>
      </c>
      <c r="D7" s="19"/>
      <c r="E7" s="20" t="s">
        <v>28</v>
      </c>
      <c r="F7" s="21"/>
      <c r="G7" s="21"/>
      <c r="H7" s="22"/>
      <c r="I7" s="23" t="str">
        <f t="shared" si="0"/>
        <v/>
      </c>
      <c r="J7" s="24"/>
      <c r="K7" s="24"/>
      <c r="L7" s="22"/>
      <c r="M7" s="22"/>
      <c r="N7" s="26">
        <f t="shared" si="1"/>
        <v>0</v>
      </c>
      <c r="O7" s="27">
        <f t="shared" si="2"/>
        <v>0</v>
      </c>
      <c r="P7" s="12"/>
      <c r="Q7" s="12"/>
      <c r="R7" s="28" t="s">
        <v>29</v>
      </c>
      <c r="S7" s="29"/>
      <c r="T7" s="14"/>
      <c r="U7" s="14"/>
      <c r="V7" s="30" t="e">
        <f t="shared" si="3"/>
        <v>#DIV/0!</v>
      </c>
    </row>
    <row r="8" spans="1:23" s="33" customFormat="1" ht="14.25" customHeight="1">
      <c r="A8" s="16">
        <v>4</v>
      </c>
      <c r="B8" s="34" t="s">
        <v>32</v>
      </c>
      <c r="C8" s="18" t="s">
        <v>27</v>
      </c>
      <c r="D8" s="35"/>
      <c r="E8" s="20" t="s">
        <v>33</v>
      </c>
      <c r="F8" s="21">
        <v>5730.4</v>
      </c>
      <c r="G8" s="21">
        <v>1988.4</v>
      </c>
      <c r="H8" s="22"/>
      <c r="I8" s="23">
        <f t="shared" si="0"/>
        <v>19.884</v>
      </c>
      <c r="J8" s="24"/>
      <c r="K8" s="24"/>
      <c r="L8" s="22"/>
      <c r="M8" s="25"/>
      <c r="N8" s="26">
        <f t="shared" si="1"/>
        <v>0</v>
      </c>
      <c r="O8" s="27">
        <f t="shared" si="2"/>
        <v>1988.4</v>
      </c>
      <c r="P8" s="12"/>
      <c r="Q8" s="12"/>
      <c r="R8" s="28" t="s">
        <v>34</v>
      </c>
      <c r="S8" s="29"/>
      <c r="T8" s="14"/>
      <c r="U8" s="14"/>
      <c r="V8" s="30">
        <f t="shared" si="3"/>
        <v>0</v>
      </c>
    </row>
    <row r="9" spans="1:23" s="33" customFormat="1" ht="14.25" customHeight="1">
      <c r="A9" s="16">
        <v>5</v>
      </c>
      <c r="B9" s="34" t="s">
        <v>35</v>
      </c>
      <c r="C9" s="18" t="s">
        <v>27</v>
      </c>
      <c r="D9" s="35"/>
      <c r="E9" s="20" t="s">
        <v>33</v>
      </c>
      <c r="F9" s="21">
        <v>0</v>
      </c>
      <c r="G9" s="21"/>
      <c r="H9" s="36"/>
      <c r="I9" s="23" t="str">
        <f t="shared" si="0"/>
        <v/>
      </c>
      <c r="J9" s="24"/>
      <c r="K9" s="24"/>
      <c r="L9" s="36">
        <v>10780.1</v>
      </c>
      <c r="M9" s="25"/>
      <c r="N9" s="26">
        <f t="shared" si="1"/>
        <v>161.70150000000001</v>
      </c>
      <c r="O9" s="27">
        <f t="shared" si="2"/>
        <v>10780.1</v>
      </c>
      <c r="P9" s="12"/>
      <c r="Q9" s="12"/>
      <c r="R9" s="28" t="s">
        <v>34</v>
      </c>
      <c r="S9" s="29"/>
      <c r="T9" s="14"/>
      <c r="U9" s="37"/>
      <c r="V9" s="30">
        <f t="shared" si="3"/>
        <v>0</v>
      </c>
    </row>
    <row r="10" spans="1:23" s="33" customFormat="1" ht="14.25" customHeight="1">
      <c r="A10" s="16">
        <v>6</v>
      </c>
      <c r="B10" s="34" t="s">
        <v>36</v>
      </c>
      <c r="C10" s="18" t="s">
        <v>27</v>
      </c>
      <c r="D10" s="35"/>
      <c r="E10" s="20" t="s">
        <v>33</v>
      </c>
      <c r="F10" s="21">
        <v>5236.8</v>
      </c>
      <c r="G10" s="21"/>
      <c r="H10" s="38"/>
      <c r="I10" s="23" t="str">
        <f t="shared" si="0"/>
        <v/>
      </c>
      <c r="J10" s="39"/>
      <c r="K10" s="39"/>
      <c r="L10" s="38">
        <v>21357.200000000001</v>
      </c>
      <c r="M10" s="40"/>
      <c r="N10" s="26">
        <f t="shared" si="1"/>
        <v>320.358</v>
      </c>
      <c r="O10" s="27">
        <f t="shared" si="2"/>
        <v>21357.200000000001</v>
      </c>
      <c r="P10" s="12"/>
      <c r="Q10" s="12"/>
      <c r="R10" s="41" t="s">
        <v>34</v>
      </c>
      <c r="S10" s="29"/>
      <c r="T10" s="14"/>
      <c r="U10" s="14"/>
      <c r="V10" s="30">
        <f t="shared" si="3"/>
        <v>0</v>
      </c>
    </row>
    <row r="11" spans="1:23" s="33" customFormat="1" ht="14.25" customHeight="1">
      <c r="A11" s="16">
        <v>7</v>
      </c>
      <c r="B11" s="34" t="s">
        <v>37</v>
      </c>
      <c r="C11" s="18" t="s">
        <v>27</v>
      </c>
      <c r="D11" s="42"/>
      <c r="E11" s="20" t="s">
        <v>33</v>
      </c>
      <c r="F11" s="21">
        <v>24494.26</v>
      </c>
      <c r="G11" s="21">
        <v>70782.52</v>
      </c>
      <c r="H11" s="38"/>
      <c r="I11" s="23" t="str">
        <f t="shared" si="0"/>
        <v/>
      </c>
      <c r="J11" s="39"/>
      <c r="K11" s="39"/>
      <c r="L11" s="38">
        <v>0</v>
      </c>
      <c r="M11" s="39"/>
      <c r="N11" s="26">
        <f t="shared" si="1"/>
        <v>0</v>
      </c>
      <c r="O11" s="27">
        <f t="shared" si="2"/>
        <v>70782.52</v>
      </c>
      <c r="P11" s="12"/>
      <c r="Q11" s="12"/>
      <c r="R11" s="41" t="s">
        <v>38</v>
      </c>
      <c r="S11" s="29"/>
      <c r="T11" s="32">
        <v>42670</v>
      </c>
      <c r="U11" s="14">
        <v>70782.52</v>
      </c>
      <c r="V11" s="30">
        <f t="shared" si="3"/>
        <v>1</v>
      </c>
    </row>
    <row r="12" spans="1:23" s="33" customFormat="1" ht="14.25" customHeight="1">
      <c r="A12" s="16">
        <v>8</v>
      </c>
      <c r="B12" s="34" t="s">
        <v>39</v>
      </c>
      <c r="C12" s="18" t="s">
        <v>27</v>
      </c>
      <c r="D12" s="43"/>
      <c r="E12" s="20" t="s">
        <v>33</v>
      </c>
      <c r="F12" s="21">
        <v>39000.300000000003</v>
      </c>
      <c r="G12" s="21">
        <v>14133.7</v>
      </c>
      <c r="H12" s="38"/>
      <c r="I12" s="23">
        <f t="shared" si="0"/>
        <v>141.33700000000002</v>
      </c>
      <c r="J12" s="38">
        <v>61627.49</v>
      </c>
      <c r="K12" s="44"/>
      <c r="L12" s="38">
        <v>0</v>
      </c>
      <c r="M12" s="39"/>
      <c r="N12" s="26">
        <f t="shared" si="1"/>
        <v>924.41234999999995</v>
      </c>
      <c r="O12" s="27">
        <f t="shared" si="2"/>
        <v>75761.19</v>
      </c>
      <c r="P12" s="12"/>
      <c r="Q12" s="12"/>
      <c r="R12" s="41" t="s">
        <v>40</v>
      </c>
      <c r="S12" s="29"/>
      <c r="T12" s="14"/>
      <c r="U12" s="14"/>
      <c r="V12" s="30">
        <f t="shared" si="3"/>
        <v>0</v>
      </c>
      <c r="W12" s="33" t="s">
        <v>41</v>
      </c>
    </row>
    <row r="13" spans="1:23" s="33" customFormat="1" ht="14.25" customHeight="1">
      <c r="A13" s="16">
        <v>9</v>
      </c>
      <c r="B13" s="34" t="s">
        <v>42</v>
      </c>
      <c r="C13" s="18" t="s">
        <v>27</v>
      </c>
      <c r="D13" s="18"/>
      <c r="E13" s="20" t="s">
        <v>33</v>
      </c>
      <c r="F13" s="21">
        <v>55709</v>
      </c>
      <c r="G13" s="21">
        <v>0</v>
      </c>
      <c r="H13" s="21">
        <v>2445</v>
      </c>
      <c r="I13" s="23">
        <f t="shared" si="0"/>
        <v>24.45</v>
      </c>
      <c r="J13" s="24"/>
      <c r="K13" s="24"/>
      <c r="L13" s="38">
        <v>128124</v>
      </c>
      <c r="M13" s="22"/>
      <c r="N13" s="26">
        <f t="shared" si="1"/>
        <v>1921.86</v>
      </c>
      <c r="O13" s="27">
        <f t="shared" si="2"/>
        <v>130569</v>
      </c>
      <c r="P13" s="12"/>
      <c r="Q13" s="12"/>
      <c r="R13" s="41" t="s">
        <v>40</v>
      </c>
      <c r="S13" s="29"/>
      <c r="T13" s="14"/>
      <c r="U13" s="14"/>
      <c r="V13" s="30">
        <f t="shared" si="3"/>
        <v>0</v>
      </c>
    </row>
    <row r="14" spans="1:23" s="33" customFormat="1" ht="14.25" customHeight="1">
      <c r="A14" s="16">
        <v>10</v>
      </c>
      <c r="B14" s="34" t="s">
        <v>43</v>
      </c>
      <c r="C14" s="18" t="s">
        <v>27</v>
      </c>
      <c r="D14" s="43"/>
      <c r="E14" s="20" t="s">
        <v>33</v>
      </c>
      <c r="F14" s="21">
        <v>110698.85</v>
      </c>
      <c r="G14" s="21">
        <v>-116279.54</v>
      </c>
      <c r="H14" s="45"/>
      <c r="I14" s="23" t="str">
        <f t="shared" si="0"/>
        <v/>
      </c>
      <c r="J14" s="24"/>
      <c r="K14" s="24"/>
      <c r="L14" s="45"/>
      <c r="M14" s="45"/>
      <c r="N14" s="26">
        <f t="shared" si="1"/>
        <v>0</v>
      </c>
      <c r="O14" s="27">
        <f t="shared" si="2"/>
        <v>-116279.54</v>
      </c>
      <c r="P14" s="12"/>
      <c r="Q14" s="12"/>
      <c r="R14" s="28" t="s">
        <v>44</v>
      </c>
      <c r="S14" s="29"/>
      <c r="T14" s="14"/>
      <c r="U14" s="14"/>
      <c r="V14" s="30">
        <f t="shared" si="3"/>
        <v>0</v>
      </c>
    </row>
    <row r="15" spans="1:23" s="33" customFormat="1" ht="14.25" customHeight="1">
      <c r="A15" s="16">
        <v>11</v>
      </c>
      <c r="B15" s="34" t="s">
        <v>45</v>
      </c>
      <c r="C15" s="18" t="s">
        <v>27</v>
      </c>
      <c r="D15" s="43"/>
      <c r="E15" s="20" t="s">
        <v>33</v>
      </c>
      <c r="F15" s="21">
        <v>13198.1</v>
      </c>
      <c r="G15" s="21">
        <v>8418.2999999999993</v>
      </c>
      <c r="H15" s="22"/>
      <c r="I15" s="23">
        <f t="shared" si="0"/>
        <v>84.182999999999993</v>
      </c>
      <c r="J15" s="24"/>
      <c r="K15" s="24"/>
      <c r="L15" s="25"/>
      <c r="M15" s="25"/>
      <c r="N15" s="26">
        <f t="shared" si="1"/>
        <v>0</v>
      </c>
      <c r="O15" s="27">
        <f t="shared" si="2"/>
        <v>8418.2999999999993</v>
      </c>
      <c r="P15" s="12"/>
      <c r="Q15" s="12"/>
      <c r="R15" s="28" t="s">
        <v>46</v>
      </c>
      <c r="S15" s="29"/>
      <c r="T15" s="14"/>
      <c r="U15" s="14"/>
      <c r="V15" s="30">
        <f t="shared" si="3"/>
        <v>0</v>
      </c>
    </row>
    <row r="16" spans="1:23" s="33" customFormat="1" ht="14.25" customHeight="1">
      <c r="A16" s="16">
        <v>12</v>
      </c>
      <c r="B16" s="34" t="s">
        <v>47</v>
      </c>
      <c r="C16" s="18" t="s">
        <v>27</v>
      </c>
      <c r="D16" s="43"/>
      <c r="E16" s="20" t="s">
        <v>33</v>
      </c>
      <c r="F16" s="21">
        <v>172830.6</v>
      </c>
      <c r="G16" s="21"/>
      <c r="H16" s="22">
        <v>3200</v>
      </c>
      <c r="I16" s="23">
        <f t="shared" si="0"/>
        <v>32</v>
      </c>
      <c r="J16" s="24"/>
      <c r="K16" s="24"/>
      <c r="L16" s="22"/>
      <c r="M16" s="22"/>
      <c r="N16" s="26">
        <f t="shared" si="1"/>
        <v>0</v>
      </c>
      <c r="O16" s="27">
        <f t="shared" si="2"/>
        <v>3200</v>
      </c>
      <c r="P16" s="12"/>
      <c r="Q16" s="12"/>
      <c r="R16" s="28" t="s">
        <v>40</v>
      </c>
      <c r="S16" s="29"/>
      <c r="T16" s="32"/>
      <c r="U16" s="14"/>
      <c r="V16" s="30">
        <f t="shared" si="3"/>
        <v>0</v>
      </c>
    </row>
    <row r="17" spans="1:23" s="33" customFormat="1" ht="14.25" customHeight="1">
      <c r="A17" s="16">
        <v>13</v>
      </c>
      <c r="B17" s="34" t="s">
        <v>48</v>
      </c>
      <c r="C17" s="18" t="s">
        <v>27</v>
      </c>
      <c r="D17" s="43"/>
      <c r="E17" s="20" t="s">
        <v>33</v>
      </c>
      <c r="F17" s="21">
        <v>15281.4</v>
      </c>
      <c r="G17" s="21">
        <v>-3686</v>
      </c>
      <c r="H17" s="22"/>
      <c r="I17" s="23" t="str">
        <f t="shared" si="0"/>
        <v/>
      </c>
      <c r="J17" s="24"/>
      <c r="K17" s="24"/>
      <c r="L17" s="22"/>
      <c r="M17" s="22"/>
      <c r="N17" s="26">
        <f t="shared" si="1"/>
        <v>0</v>
      </c>
      <c r="O17" s="27">
        <f t="shared" si="2"/>
        <v>-3686</v>
      </c>
      <c r="P17" s="12"/>
      <c r="Q17" s="12"/>
      <c r="R17" s="28" t="s">
        <v>44</v>
      </c>
      <c r="S17" s="29"/>
      <c r="T17" s="14"/>
      <c r="U17" s="14"/>
      <c r="V17" s="30">
        <f t="shared" si="3"/>
        <v>0</v>
      </c>
    </row>
    <row r="18" spans="1:23" s="33" customFormat="1" ht="14.25" customHeight="1">
      <c r="A18" s="16">
        <v>14</v>
      </c>
      <c r="B18" s="34" t="s">
        <v>49</v>
      </c>
      <c r="C18" s="18" t="s">
        <v>27</v>
      </c>
      <c r="D18" s="43"/>
      <c r="E18" s="20" t="s">
        <v>33</v>
      </c>
      <c r="F18" s="21">
        <v>19782</v>
      </c>
      <c r="G18" s="21">
        <v>0</v>
      </c>
      <c r="H18" s="22"/>
      <c r="I18" s="23" t="str">
        <f t="shared" si="0"/>
        <v/>
      </c>
      <c r="J18" s="24"/>
      <c r="K18" s="24"/>
      <c r="L18" s="22"/>
      <c r="M18" s="22"/>
      <c r="N18" s="26">
        <f t="shared" si="1"/>
        <v>0</v>
      </c>
      <c r="O18" s="27">
        <f t="shared" si="2"/>
        <v>0</v>
      </c>
      <c r="P18" s="12"/>
      <c r="Q18" s="12"/>
      <c r="R18" s="28" t="s">
        <v>38</v>
      </c>
      <c r="S18" s="29"/>
      <c r="T18" s="14"/>
      <c r="U18" s="14"/>
      <c r="V18" s="30" t="e">
        <f t="shared" si="3"/>
        <v>#DIV/0!</v>
      </c>
    </row>
    <row r="19" spans="1:23" s="33" customFormat="1" ht="14.25" customHeight="1">
      <c r="A19" s="16">
        <v>15</v>
      </c>
      <c r="B19" s="34" t="s">
        <v>50</v>
      </c>
      <c r="C19" s="18" t="s">
        <v>27</v>
      </c>
      <c r="D19" s="43"/>
      <c r="E19" s="20" t="s">
        <v>33</v>
      </c>
      <c r="F19" s="21"/>
      <c r="G19" s="21"/>
      <c r="H19" s="22"/>
      <c r="I19" s="23" t="str">
        <f t="shared" si="0"/>
        <v/>
      </c>
      <c r="J19" s="24"/>
      <c r="K19" s="24"/>
      <c r="L19" s="25">
        <v>2522.1</v>
      </c>
      <c r="M19" s="25"/>
      <c r="N19" s="26">
        <f t="shared" si="1"/>
        <v>37.831499999999998</v>
      </c>
      <c r="O19" s="27">
        <f t="shared" si="2"/>
        <v>2522.1</v>
      </c>
      <c r="P19" s="12"/>
      <c r="Q19" s="12"/>
      <c r="R19" s="28" t="s">
        <v>51</v>
      </c>
      <c r="S19" s="29"/>
      <c r="T19" s="14"/>
      <c r="U19" s="14"/>
      <c r="V19" s="30">
        <f t="shared" si="3"/>
        <v>0</v>
      </c>
    </row>
    <row r="20" spans="1:23" s="33" customFormat="1" ht="14.25" customHeight="1">
      <c r="A20" s="16">
        <v>16</v>
      </c>
      <c r="B20" s="34" t="s">
        <v>52</v>
      </c>
      <c r="C20" s="18" t="s">
        <v>27</v>
      </c>
      <c r="D20" s="43"/>
      <c r="E20" s="20" t="s">
        <v>33</v>
      </c>
      <c r="F20" s="21">
        <v>1510</v>
      </c>
      <c r="G20" s="21"/>
      <c r="H20" s="22"/>
      <c r="I20" s="23" t="str">
        <f t="shared" si="0"/>
        <v/>
      </c>
      <c r="J20" s="24"/>
      <c r="K20" s="24"/>
      <c r="L20" s="25"/>
      <c r="M20" s="25"/>
      <c r="N20" s="26">
        <f t="shared" si="1"/>
        <v>0</v>
      </c>
      <c r="O20" s="27">
        <f t="shared" si="2"/>
        <v>0</v>
      </c>
      <c r="P20" s="12"/>
      <c r="Q20" s="12"/>
      <c r="R20" s="28" t="s">
        <v>44</v>
      </c>
      <c r="S20" s="29"/>
      <c r="T20" s="14"/>
      <c r="U20" s="14"/>
      <c r="V20" s="30" t="e">
        <f t="shared" si="3"/>
        <v>#DIV/0!</v>
      </c>
    </row>
    <row r="21" spans="1:23" s="33" customFormat="1" ht="14.25" customHeight="1">
      <c r="A21" s="16">
        <v>17</v>
      </c>
      <c r="B21" s="34" t="s">
        <v>53</v>
      </c>
      <c r="C21" s="18" t="s">
        <v>27</v>
      </c>
      <c r="D21" s="43"/>
      <c r="E21" s="20" t="s">
        <v>33</v>
      </c>
      <c r="F21" s="21"/>
      <c r="G21" s="21"/>
      <c r="H21" s="22"/>
      <c r="I21" s="23" t="str">
        <f t="shared" si="0"/>
        <v/>
      </c>
      <c r="J21" s="46"/>
      <c r="K21" s="24"/>
      <c r="L21" s="25">
        <v>0</v>
      </c>
      <c r="M21" s="25"/>
      <c r="N21" s="26">
        <f t="shared" si="1"/>
        <v>0</v>
      </c>
      <c r="O21" s="27">
        <f t="shared" si="2"/>
        <v>0</v>
      </c>
      <c r="P21" s="12"/>
      <c r="Q21" s="12"/>
      <c r="R21" s="28" t="s">
        <v>38</v>
      </c>
      <c r="S21" s="29"/>
      <c r="T21" s="14"/>
      <c r="U21" s="14"/>
      <c r="V21" s="30" t="e">
        <f t="shared" si="3"/>
        <v>#DIV/0!</v>
      </c>
    </row>
    <row r="22" spans="1:23" s="33" customFormat="1" ht="14.25" customHeight="1">
      <c r="A22" s="16">
        <v>18</v>
      </c>
      <c r="B22" s="34" t="s">
        <v>54</v>
      </c>
      <c r="C22" s="18" t="s">
        <v>27</v>
      </c>
      <c r="D22" s="43"/>
      <c r="E22" s="20" t="s">
        <v>33</v>
      </c>
      <c r="F22" s="21"/>
      <c r="G22" s="21">
        <v>-1720.02</v>
      </c>
      <c r="H22" s="22"/>
      <c r="I22" s="23" t="str">
        <f t="shared" si="0"/>
        <v/>
      </c>
      <c r="J22" s="46"/>
      <c r="K22" s="24"/>
      <c r="L22" s="25">
        <v>0</v>
      </c>
      <c r="M22" s="25"/>
      <c r="N22" s="26">
        <f t="shared" si="1"/>
        <v>0</v>
      </c>
      <c r="O22" s="27">
        <f t="shared" si="2"/>
        <v>-1720.02</v>
      </c>
      <c r="P22" s="12"/>
      <c r="Q22" s="12"/>
      <c r="R22" s="28" t="s">
        <v>38</v>
      </c>
      <c r="S22" s="29"/>
      <c r="T22" s="14"/>
      <c r="U22" s="14"/>
      <c r="V22" s="30">
        <f t="shared" si="3"/>
        <v>0</v>
      </c>
    </row>
    <row r="23" spans="1:23" s="33" customFormat="1" ht="14.25" customHeight="1">
      <c r="A23" s="16">
        <v>19</v>
      </c>
      <c r="B23" s="34" t="s">
        <v>55</v>
      </c>
      <c r="C23" s="18" t="s">
        <v>27</v>
      </c>
      <c r="D23" s="43"/>
      <c r="E23" s="20" t="s">
        <v>33</v>
      </c>
      <c r="F23" s="21">
        <v>12235</v>
      </c>
      <c r="G23" s="21">
        <v>0</v>
      </c>
      <c r="H23" s="22"/>
      <c r="I23" s="23" t="str">
        <f t="shared" si="0"/>
        <v/>
      </c>
      <c r="J23" s="21">
        <v>19267.8</v>
      </c>
      <c r="K23" s="24"/>
      <c r="L23" s="25">
        <v>0</v>
      </c>
      <c r="M23" s="25"/>
      <c r="N23" s="26">
        <f t="shared" si="1"/>
        <v>289.017</v>
      </c>
      <c r="O23" s="27">
        <f t="shared" si="2"/>
        <v>19267.8</v>
      </c>
      <c r="P23" s="12"/>
      <c r="Q23" s="12"/>
      <c r="R23" s="28" t="s">
        <v>56</v>
      </c>
      <c r="S23" s="29"/>
      <c r="T23" s="14"/>
      <c r="U23" s="14"/>
      <c r="V23" s="30">
        <f t="shared" si="3"/>
        <v>0</v>
      </c>
    </row>
    <row r="24" spans="1:23" s="33" customFormat="1" ht="14.25" customHeight="1">
      <c r="A24" s="16">
        <v>20</v>
      </c>
      <c r="B24" s="34" t="s">
        <v>57</v>
      </c>
      <c r="C24" s="18" t="s">
        <v>27</v>
      </c>
      <c r="D24" s="43"/>
      <c r="E24" s="20" t="s">
        <v>33</v>
      </c>
      <c r="F24" s="21">
        <v>43731.6</v>
      </c>
      <c r="G24" s="21">
        <v>-76710</v>
      </c>
      <c r="H24" s="22"/>
      <c r="I24" s="23" t="str">
        <f t="shared" si="0"/>
        <v/>
      </c>
      <c r="J24" s="21"/>
      <c r="K24" s="24"/>
      <c r="L24" s="25">
        <v>172208</v>
      </c>
      <c r="M24" s="25"/>
      <c r="N24" s="26">
        <f>(G24+J24+K24+L24+M24-U24)*0.015</f>
        <v>0</v>
      </c>
      <c r="O24" s="27">
        <f t="shared" si="2"/>
        <v>95498</v>
      </c>
      <c r="P24" s="12"/>
      <c r="Q24" s="12"/>
      <c r="R24" s="28" t="s">
        <v>38</v>
      </c>
      <c r="S24" s="29"/>
      <c r="T24" s="32">
        <v>42661</v>
      </c>
      <c r="U24" s="14">
        <v>95498</v>
      </c>
      <c r="V24" s="30">
        <f t="shared" si="3"/>
        <v>1</v>
      </c>
    </row>
    <row r="25" spans="1:23" s="33" customFormat="1" ht="14.25" customHeight="1">
      <c r="A25" s="16">
        <v>21</v>
      </c>
      <c r="B25" s="34" t="s">
        <v>58</v>
      </c>
      <c r="C25" s="18" t="s">
        <v>27</v>
      </c>
      <c r="D25" s="43"/>
      <c r="E25" s="20" t="s">
        <v>59</v>
      </c>
      <c r="F25" s="21">
        <v>1337.4</v>
      </c>
      <c r="G25" s="21">
        <v>-7535.5</v>
      </c>
      <c r="H25" s="25"/>
      <c r="I25" s="23" t="str">
        <f t="shared" si="0"/>
        <v/>
      </c>
      <c r="J25" s="46"/>
      <c r="K25" s="24"/>
      <c r="L25" s="25">
        <v>0</v>
      </c>
      <c r="M25" s="25"/>
      <c r="N25" s="26">
        <f t="shared" si="1"/>
        <v>0</v>
      </c>
      <c r="O25" s="27">
        <f t="shared" si="2"/>
        <v>-7535.5</v>
      </c>
      <c r="P25" s="12"/>
      <c r="Q25" s="12"/>
      <c r="R25" s="28" t="s">
        <v>38</v>
      </c>
      <c r="S25" s="29"/>
      <c r="T25" s="14"/>
      <c r="U25" s="14"/>
      <c r="V25" s="30">
        <f t="shared" si="3"/>
        <v>0</v>
      </c>
    </row>
    <row r="26" spans="1:23" s="33" customFormat="1" ht="14.25" customHeight="1">
      <c r="A26" s="16">
        <v>22</v>
      </c>
      <c r="B26" s="34" t="s">
        <v>60</v>
      </c>
      <c r="C26" s="18" t="s">
        <v>27</v>
      </c>
      <c r="D26" s="43"/>
      <c r="E26" s="20" t="s">
        <v>61</v>
      </c>
      <c r="F26" s="21">
        <v>7269.06</v>
      </c>
      <c r="G26" s="21"/>
      <c r="H26" s="22"/>
      <c r="I26" s="23" t="str">
        <f t="shared" si="0"/>
        <v/>
      </c>
      <c r="J26" s="46"/>
      <c r="K26" s="24"/>
      <c r="L26" s="25"/>
      <c r="M26" s="22"/>
      <c r="N26" s="26">
        <f t="shared" si="1"/>
        <v>0</v>
      </c>
      <c r="O26" s="27">
        <f t="shared" si="2"/>
        <v>0</v>
      </c>
      <c r="P26" s="12"/>
      <c r="Q26" s="12"/>
      <c r="R26" s="28" t="s">
        <v>44</v>
      </c>
      <c r="S26" s="29"/>
      <c r="T26" s="14"/>
      <c r="U26" s="14"/>
      <c r="V26" s="30" t="e">
        <f t="shared" si="3"/>
        <v>#DIV/0!</v>
      </c>
    </row>
    <row r="27" spans="1:23" s="33" customFormat="1" ht="14.25" customHeight="1">
      <c r="A27" s="16">
        <v>23</v>
      </c>
      <c r="B27" s="34" t="s">
        <v>62</v>
      </c>
      <c r="C27" s="18" t="s">
        <v>27</v>
      </c>
      <c r="D27" s="43"/>
      <c r="E27" s="20" t="s">
        <v>61</v>
      </c>
      <c r="F27" s="21">
        <v>23554.58</v>
      </c>
      <c r="G27" s="21">
        <v>1131.0999999999999</v>
      </c>
      <c r="H27" s="22"/>
      <c r="I27" s="23" t="str">
        <f t="shared" si="0"/>
        <v/>
      </c>
      <c r="J27" s="46"/>
      <c r="K27" s="24"/>
      <c r="L27" s="22"/>
      <c r="M27" s="22"/>
      <c r="N27" s="26">
        <f t="shared" si="1"/>
        <v>0</v>
      </c>
      <c r="O27" s="27">
        <f t="shared" si="2"/>
        <v>1131.0999999999999</v>
      </c>
      <c r="P27" s="12"/>
      <c r="Q27" s="12"/>
      <c r="R27" s="28" t="s">
        <v>44</v>
      </c>
      <c r="S27" s="29"/>
      <c r="T27" s="32">
        <v>42664</v>
      </c>
      <c r="U27" s="14">
        <v>1131.0999999999999</v>
      </c>
      <c r="V27" s="30">
        <f t="shared" si="3"/>
        <v>1</v>
      </c>
    </row>
    <row r="28" spans="1:23" s="33" customFormat="1" ht="14.25" customHeight="1">
      <c r="A28" s="16">
        <v>24</v>
      </c>
      <c r="B28" s="34" t="s">
        <v>63</v>
      </c>
      <c r="C28" s="18" t="s">
        <v>27</v>
      </c>
      <c r="D28" s="43"/>
      <c r="E28" s="20" t="s">
        <v>61</v>
      </c>
      <c r="F28" s="21"/>
      <c r="G28" s="21"/>
      <c r="H28" s="22"/>
      <c r="I28" s="23" t="str">
        <f t="shared" si="0"/>
        <v/>
      </c>
      <c r="J28" s="46"/>
      <c r="K28" s="24"/>
      <c r="L28" s="25">
        <v>1716.69</v>
      </c>
      <c r="M28" s="25"/>
      <c r="N28" s="26">
        <f t="shared" si="1"/>
        <v>25.750350000000001</v>
      </c>
      <c r="O28" s="27">
        <f t="shared" si="2"/>
        <v>1716.69</v>
      </c>
      <c r="P28" s="12"/>
      <c r="Q28" s="12"/>
      <c r="R28" s="28" t="s">
        <v>56</v>
      </c>
      <c r="S28" s="29"/>
      <c r="T28" s="14"/>
      <c r="U28" s="37"/>
      <c r="V28" s="30">
        <f t="shared" si="3"/>
        <v>0</v>
      </c>
    </row>
    <row r="29" spans="1:23" s="33" customFormat="1" ht="14.25" customHeight="1">
      <c r="A29" s="16">
        <v>25</v>
      </c>
      <c r="B29" s="34" t="s">
        <v>64</v>
      </c>
      <c r="C29" s="18" t="s">
        <v>27</v>
      </c>
      <c r="D29" s="43"/>
      <c r="E29" s="20" t="s">
        <v>61</v>
      </c>
      <c r="F29" s="21">
        <v>116931.46</v>
      </c>
      <c r="G29" s="21">
        <v>69825.960000000006</v>
      </c>
      <c r="H29" s="39"/>
      <c r="I29" s="23">
        <f t="shared" si="0"/>
        <v>1.4551915228366852E-13</v>
      </c>
      <c r="J29" s="38"/>
      <c r="K29" s="39"/>
      <c r="L29" s="40"/>
      <c r="M29" s="39"/>
      <c r="N29" s="26">
        <f>(J29+K29+L29+M29)*0.015</f>
        <v>0</v>
      </c>
      <c r="O29" s="27">
        <f t="shared" si="2"/>
        <v>69825.960000000006</v>
      </c>
      <c r="P29" s="12"/>
      <c r="Q29" s="12"/>
      <c r="R29" s="41" t="s">
        <v>38</v>
      </c>
      <c r="S29" s="29"/>
      <c r="T29" s="32">
        <v>42653</v>
      </c>
      <c r="U29" s="14">
        <f>60825.46+9000.5</f>
        <v>69825.959999999992</v>
      </c>
      <c r="V29" s="30">
        <f t="shared" si="3"/>
        <v>0.99999999999999978</v>
      </c>
    </row>
    <row r="30" spans="1:23" s="33" customFormat="1" ht="14.25" customHeight="1">
      <c r="A30" s="16">
        <v>26</v>
      </c>
      <c r="B30" s="34" t="s">
        <v>65</v>
      </c>
      <c r="C30" s="18" t="s">
        <v>27</v>
      </c>
      <c r="D30" s="43"/>
      <c r="E30" s="20" t="s">
        <v>61</v>
      </c>
      <c r="F30" s="21">
        <v>69</v>
      </c>
      <c r="G30" s="21">
        <v>0</v>
      </c>
      <c r="H30" s="21">
        <v>21359.200000000001</v>
      </c>
      <c r="I30" s="23">
        <f t="shared" si="0"/>
        <v>68.246000000000009</v>
      </c>
      <c r="J30" s="38"/>
      <c r="K30" s="39"/>
      <c r="L30" s="38">
        <v>3263.92</v>
      </c>
      <c r="M30" s="39"/>
      <c r="N30" s="26">
        <f t="shared" si="1"/>
        <v>48.958799999999997</v>
      </c>
      <c r="O30" s="27">
        <f t="shared" si="2"/>
        <v>24623.120000000003</v>
      </c>
      <c r="P30" s="12"/>
      <c r="Q30" s="12"/>
      <c r="R30" s="41" t="s">
        <v>56</v>
      </c>
      <c r="S30" s="29"/>
      <c r="T30" s="32">
        <v>42661</v>
      </c>
      <c r="U30" s="14">
        <v>14534.6</v>
      </c>
      <c r="V30" s="30">
        <f t="shared" si="3"/>
        <v>0.59028262868393599</v>
      </c>
    </row>
    <row r="31" spans="1:23" s="33" customFormat="1" ht="14.25" customHeight="1">
      <c r="A31" s="16">
        <v>27</v>
      </c>
      <c r="B31" s="47" t="s">
        <v>66</v>
      </c>
      <c r="C31" s="18" t="s">
        <v>27</v>
      </c>
      <c r="D31" s="43"/>
      <c r="E31" s="20" t="s">
        <v>61</v>
      </c>
      <c r="F31" s="21">
        <v>19522.3</v>
      </c>
      <c r="G31" s="21">
        <v>11314</v>
      </c>
      <c r="H31" s="39"/>
      <c r="I31" s="23">
        <f t="shared" si="0"/>
        <v>113.14</v>
      </c>
      <c r="J31" s="38"/>
      <c r="K31" s="39"/>
      <c r="L31" s="38"/>
      <c r="M31" s="39"/>
      <c r="N31" s="26">
        <f t="shared" si="1"/>
        <v>0</v>
      </c>
      <c r="O31" s="27">
        <f t="shared" si="2"/>
        <v>11314</v>
      </c>
      <c r="P31" s="12"/>
      <c r="Q31" s="12"/>
      <c r="R31" s="41" t="s">
        <v>38</v>
      </c>
      <c r="S31" s="29"/>
      <c r="T31" s="14"/>
      <c r="U31" s="14"/>
      <c r="V31" s="30">
        <f t="shared" si="3"/>
        <v>0</v>
      </c>
      <c r="W31" s="33" t="s">
        <v>257</v>
      </c>
    </row>
    <row r="32" spans="1:23" s="33" customFormat="1" ht="14.25" customHeight="1">
      <c r="A32" s="16">
        <v>28</v>
      </c>
      <c r="B32" s="48" t="s">
        <v>67</v>
      </c>
      <c r="C32" s="18"/>
      <c r="D32" s="49"/>
      <c r="E32" s="20" t="s">
        <v>68</v>
      </c>
      <c r="F32" s="21">
        <v>66705.990000000005</v>
      </c>
      <c r="G32" s="21">
        <v>67459.759999999995</v>
      </c>
      <c r="H32" s="39"/>
      <c r="I32" s="23">
        <f t="shared" si="0"/>
        <v>224.60379999999998</v>
      </c>
      <c r="J32" s="38"/>
      <c r="K32" s="39"/>
      <c r="L32" s="38"/>
      <c r="M32" s="39"/>
      <c r="N32" s="26"/>
      <c r="O32" s="27">
        <f t="shared" si="2"/>
        <v>67459.759999999995</v>
      </c>
      <c r="P32" s="12"/>
      <c r="Q32" s="12"/>
      <c r="R32" s="41" t="s">
        <v>46</v>
      </c>
      <c r="S32" s="29"/>
      <c r="T32" s="32">
        <v>42661</v>
      </c>
      <c r="U32" s="14">
        <v>44999.38</v>
      </c>
      <c r="V32" s="30">
        <f t="shared" si="3"/>
        <v>0.66705514517098785</v>
      </c>
    </row>
    <row r="33" spans="1:22" s="33" customFormat="1" ht="14.25" customHeight="1">
      <c r="A33" s="16">
        <v>29</v>
      </c>
      <c r="B33" s="48" t="s">
        <v>69</v>
      </c>
      <c r="C33" s="18"/>
      <c r="D33" s="49"/>
      <c r="E33" s="20" t="s">
        <v>68</v>
      </c>
      <c r="F33" s="21">
        <v>3381</v>
      </c>
      <c r="G33" s="21"/>
      <c r="H33" s="39"/>
      <c r="I33" s="23" t="str">
        <f>IF((G33+H33-U33)*0.01&gt;0,(G33+H33-U33)*0.01,"")</f>
        <v/>
      </c>
      <c r="J33" s="38"/>
      <c r="K33" s="39"/>
      <c r="L33" s="38"/>
      <c r="M33" s="39"/>
      <c r="N33" s="26">
        <f t="shared" ref="N33:N40" si="4">(J33+K33+L33+M33)*0.015</f>
        <v>0</v>
      </c>
      <c r="O33" s="27">
        <f t="shared" si="2"/>
        <v>0</v>
      </c>
      <c r="P33" s="12"/>
      <c r="Q33" s="12"/>
      <c r="R33" s="41" t="s">
        <v>38</v>
      </c>
      <c r="S33" s="29"/>
      <c r="T33" s="14"/>
      <c r="U33" s="14"/>
      <c r="V33" s="30" t="e">
        <f t="shared" si="3"/>
        <v>#DIV/0!</v>
      </c>
    </row>
    <row r="34" spans="1:22" s="33" customFormat="1" ht="14.25" customHeight="1">
      <c r="A34" s="16">
        <v>30</v>
      </c>
      <c r="B34" s="48" t="s">
        <v>70</v>
      </c>
      <c r="C34" s="18"/>
      <c r="D34" s="49"/>
      <c r="E34" s="20" t="s">
        <v>71</v>
      </c>
      <c r="F34" s="21">
        <v>6009.82</v>
      </c>
      <c r="G34" s="21">
        <v>-6486.95</v>
      </c>
      <c r="H34" s="39"/>
      <c r="I34" s="23" t="str">
        <f t="shared" si="0"/>
        <v/>
      </c>
      <c r="J34" s="38"/>
      <c r="K34" s="39"/>
      <c r="L34" s="38"/>
      <c r="M34" s="39"/>
      <c r="N34" s="26">
        <f t="shared" si="4"/>
        <v>0</v>
      </c>
      <c r="O34" s="27">
        <f t="shared" si="2"/>
        <v>-6486.95</v>
      </c>
      <c r="P34" s="12"/>
      <c r="Q34" s="12"/>
      <c r="R34" s="41" t="s">
        <v>72</v>
      </c>
      <c r="S34" s="29"/>
      <c r="T34" s="14"/>
      <c r="U34" s="14"/>
      <c r="V34" s="30">
        <f t="shared" si="3"/>
        <v>0</v>
      </c>
    </row>
    <row r="35" spans="1:22" s="33" customFormat="1" ht="14.25" customHeight="1">
      <c r="A35" s="16">
        <v>31</v>
      </c>
      <c r="B35" s="48" t="s">
        <v>73</v>
      </c>
      <c r="C35" s="18"/>
      <c r="D35" s="49"/>
      <c r="E35" s="20" t="s">
        <v>33</v>
      </c>
      <c r="F35" s="21">
        <v>5341.4</v>
      </c>
      <c r="G35" s="21"/>
      <c r="H35" s="39"/>
      <c r="I35" s="23" t="str">
        <f t="shared" si="0"/>
        <v/>
      </c>
      <c r="J35" s="38"/>
      <c r="K35" s="39"/>
      <c r="L35" s="38"/>
      <c r="M35" s="39"/>
      <c r="N35" s="26">
        <f t="shared" si="4"/>
        <v>0</v>
      </c>
      <c r="O35" s="27">
        <f t="shared" si="2"/>
        <v>0</v>
      </c>
      <c r="P35" s="12"/>
      <c r="Q35" s="12"/>
      <c r="R35" s="41" t="s">
        <v>40</v>
      </c>
      <c r="S35" s="29"/>
      <c r="T35" s="14"/>
      <c r="U35" s="14"/>
      <c r="V35" s="30" t="e">
        <f t="shared" si="3"/>
        <v>#DIV/0!</v>
      </c>
    </row>
    <row r="36" spans="1:22" s="33" customFormat="1" ht="14.25" customHeight="1">
      <c r="A36" s="16">
        <v>32</v>
      </c>
      <c r="B36" s="48" t="s">
        <v>74</v>
      </c>
      <c r="C36" s="18"/>
      <c r="D36" s="49"/>
      <c r="E36" s="20" t="s">
        <v>75</v>
      </c>
      <c r="F36" s="21"/>
      <c r="G36" s="21">
        <v>2737</v>
      </c>
      <c r="H36" s="39"/>
      <c r="I36" s="23">
        <f t="shared" si="0"/>
        <v>27.37</v>
      </c>
      <c r="J36" s="38"/>
      <c r="K36" s="39"/>
      <c r="L36" s="38"/>
      <c r="M36" s="39"/>
      <c r="N36" s="26">
        <f t="shared" si="4"/>
        <v>0</v>
      </c>
      <c r="O36" s="27">
        <f t="shared" si="2"/>
        <v>2737</v>
      </c>
      <c r="P36" s="12"/>
      <c r="Q36" s="12"/>
      <c r="R36" s="41" t="s">
        <v>76</v>
      </c>
      <c r="S36" s="29"/>
      <c r="T36" s="14"/>
      <c r="U36" s="14"/>
      <c r="V36" s="30">
        <f t="shared" si="3"/>
        <v>0</v>
      </c>
    </row>
    <row r="37" spans="1:22" s="33" customFormat="1" ht="14.25" customHeight="1">
      <c r="A37" s="16">
        <v>33</v>
      </c>
      <c r="B37" s="48" t="s">
        <v>77</v>
      </c>
      <c r="C37" s="18"/>
      <c r="D37" s="49"/>
      <c r="E37" s="20" t="s">
        <v>68</v>
      </c>
      <c r="F37" s="21">
        <v>0</v>
      </c>
      <c r="G37" s="21"/>
      <c r="H37" s="39"/>
      <c r="I37" s="23" t="str">
        <f t="shared" si="0"/>
        <v/>
      </c>
      <c r="J37" s="38">
        <v>6262.6</v>
      </c>
      <c r="K37" s="39"/>
      <c r="L37" s="39"/>
      <c r="M37" s="39"/>
      <c r="N37" s="26">
        <f t="shared" si="4"/>
        <v>93.939000000000007</v>
      </c>
      <c r="O37" s="27">
        <f t="shared" si="2"/>
        <v>6262.6</v>
      </c>
      <c r="P37" s="12"/>
      <c r="Q37" s="12"/>
      <c r="R37" s="41" t="s">
        <v>40</v>
      </c>
      <c r="S37" s="29"/>
      <c r="T37" s="14"/>
      <c r="U37" s="14"/>
      <c r="V37" s="30">
        <f t="shared" si="3"/>
        <v>0</v>
      </c>
    </row>
    <row r="38" spans="1:22" s="33" customFormat="1" ht="14.25" customHeight="1">
      <c r="A38" s="16">
        <v>34</v>
      </c>
      <c r="B38" s="48" t="s">
        <v>78</v>
      </c>
      <c r="C38" s="18"/>
      <c r="D38" s="49"/>
      <c r="E38" s="20" t="s">
        <v>68</v>
      </c>
      <c r="F38" s="21">
        <v>1158.4000000000001</v>
      </c>
      <c r="G38" s="21">
        <v>4848</v>
      </c>
      <c r="H38" s="39"/>
      <c r="I38" s="23">
        <f t="shared" si="0"/>
        <v>48.480000000000004</v>
      </c>
      <c r="J38" s="38"/>
      <c r="K38" s="39"/>
      <c r="L38" s="39"/>
      <c r="M38" s="39"/>
      <c r="N38" s="26">
        <f t="shared" si="4"/>
        <v>0</v>
      </c>
      <c r="O38" s="27">
        <f t="shared" si="2"/>
        <v>4848</v>
      </c>
      <c r="P38" s="12"/>
      <c r="Q38" s="12"/>
      <c r="R38" s="41" t="s">
        <v>79</v>
      </c>
      <c r="S38" s="29"/>
      <c r="T38" s="14"/>
      <c r="U38" s="14"/>
      <c r="V38" s="30">
        <f t="shared" si="3"/>
        <v>0</v>
      </c>
    </row>
    <row r="39" spans="1:22" s="33" customFormat="1" ht="14.25" customHeight="1">
      <c r="A39" s="16">
        <v>35</v>
      </c>
      <c r="B39" s="48" t="s">
        <v>80</v>
      </c>
      <c r="C39" s="18"/>
      <c r="D39" s="49"/>
      <c r="E39" s="20" t="s">
        <v>71</v>
      </c>
      <c r="F39" s="21">
        <v>7020</v>
      </c>
      <c r="G39" s="21">
        <v>-23202</v>
      </c>
      <c r="H39" s="39"/>
      <c r="I39" s="23" t="str">
        <f t="shared" si="0"/>
        <v/>
      </c>
      <c r="J39" s="38"/>
      <c r="K39" s="39"/>
      <c r="L39" s="39"/>
      <c r="M39" s="39"/>
      <c r="N39" s="26">
        <f t="shared" si="4"/>
        <v>0</v>
      </c>
      <c r="O39" s="27">
        <f t="shared" si="2"/>
        <v>-23202</v>
      </c>
      <c r="P39" s="12"/>
      <c r="Q39" s="12"/>
      <c r="R39" s="41" t="s">
        <v>81</v>
      </c>
      <c r="S39" s="29"/>
      <c r="T39" s="14"/>
      <c r="U39" s="14"/>
      <c r="V39" s="30">
        <f t="shared" si="3"/>
        <v>0</v>
      </c>
    </row>
    <row r="40" spans="1:22" s="33" customFormat="1" ht="14.25" customHeight="1">
      <c r="A40" s="50"/>
      <c r="B40" s="51" t="s">
        <v>82</v>
      </c>
      <c r="C40" s="52"/>
      <c r="D40" s="53"/>
      <c r="E40" s="54"/>
      <c r="F40" s="55"/>
      <c r="G40" s="55"/>
      <c r="H40" s="55"/>
      <c r="I40" s="56" t="str">
        <f t="shared" si="0"/>
        <v/>
      </c>
      <c r="J40" s="56"/>
      <c r="K40" s="56"/>
      <c r="L40" s="56"/>
      <c r="M40" s="56"/>
      <c r="N40" s="26">
        <f t="shared" si="4"/>
        <v>0</v>
      </c>
      <c r="O40" s="57"/>
      <c r="P40" s="58"/>
      <c r="Q40" s="58"/>
      <c r="R40" s="59"/>
      <c r="S40" s="60"/>
      <c r="T40" s="58"/>
      <c r="U40" s="58"/>
      <c r="V40" s="61"/>
    </row>
    <row r="41" spans="1:22" s="33" customFormat="1" ht="14.25" customHeight="1">
      <c r="A41" s="62"/>
      <c r="B41" s="63" t="s">
        <v>83</v>
      </c>
      <c r="C41" s="64"/>
      <c r="D41" s="65"/>
      <c r="E41" s="66"/>
      <c r="F41" s="67">
        <f>SUM(F5:F40)</f>
        <v>778106.22000000009</v>
      </c>
      <c r="G41" s="67">
        <f>SUM(G5:G40)</f>
        <v>17018.73000000001</v>
      </c>
      <c r="H41" s="67">
        <f t="shared" ref="H41:I41" si="5">SUM(H5:H40)</f>
        <v>27004.2</v>
      </c>
      <c r="I41" s="68">
        <f t="shared" si="5"/>
        <v>783.69380000000012</v>
      </c>
      <c r="J41" s="68">
        <f>SUM(J5:J40)</f>
        <v>87157.89</v>
      </c>
      <c r="K41" s="68">
        <f t="shared" ref="K41:N41" si="6">SUM(K5:K40)</f>
        <v>0</v>
      </c>
      <c r="L41" s="68">
        <f t="shared" si="6"/>
        <v>339972.01</v>
      </c>
      <c r="M41" s="68">
        <f t="shared" si="6"/>
        <v>0</v>
      </c>
      <c r="N41" s="69">
        <f t="shared" si="6"/>
        <v>3823.8284999999987</v>
      </c>
      <c r="O41" s="70">
        <f>SUM(O5:O40)</f>
        <v>471152.83</v>
      </c>
      <c r="P41" s="71"/>
      <c r="Q41" s="71"/>
      <c r="R41" s="72"/>
      <c r="S41" s="73"/>
      <c r="T41" s="71"/>
      <c r="U41" s="71"/>
      <c r="V41" s="74"/>
    </row>
    <row r="42" spans="1:22" s="33" customFormat="1" ht="14.25" customHeight="1">
      <c r="A42" s="16">
        <v>36</v>
      </c>
      <c r="B42" s="34" t="s">
        <v>84</v>
      </c>
      <c r="C42" s="18" t="s">
        <v>27</v>
      </c>
      <c r="D42" s="18" t="s">
        <v>85</v>
      </c>
      <c r="E42" s="20"/>
      <c r="F42" s="21"/>
      <c r="G42" s="21">
        <v>0</v>
      </c>
      <c r="H42" s="39">
        <v>62165.99</v>
      </c>
      <c r="I42" s="23"/>
      <c r="J42" s="39"/>
      <c r="K42" s="39"/>
      <c r="L42" s="39"/>
      <c r="M42" s="39"/>
      <c r="N42" s="26"/>
      <c r="O42" s="27">
        <f>G42+H42+J42+K42+L42+M42</f>
        <v>62165.99</v>
      </c>
      <c r="P42" s="12"/>
      <c r="Q42" s="12"/>
      <c r="R42" s="41"/>
      <c r="S42" s="29"/>
      <c r="T42" s="14"/>
      <c r="U42" s="14"/>
      <c r="V42" s="30"/>
    </row>
    <row r="43" spans="1:22" s="33" customFormat="1" ht="14.25" customHeight="1">
      <c r="A43" s="16">
        <v>37</v>
      </c>
      <c r="B43" s="34" t="s">
        <v>86</v>
      </c>
      <c r="C43" s="18" t="s">
        <v>87</v>
      </c>
      <c r="D43" s="18" t="s">
        <v>88</v>
      </c>
      <c r="E43" s="20"/>
      <c r="F43" s="21">
        <v>1688472.84</v>
      </c>
      <c r="G43" s="21">
        <v>10205640.74</v>
      </c>
      <c r="H43" s="39"/>
      <c r="I43" s="23"/>
      <c r="J43" s="39"/>
      <c r="K43" s="39"/>
      <c r="L43" s="39"/>
      <c r="M43" s="39"/>
      <c r="N43" s="26"/>
      <c r="O43" s="27">
        <f>G43+H43+J43+K43+L43+M43</f>
        <v>10205640.74</v>
      </c>
      <c r="P43" s="12"/>
      <c r="Q43" s="12"/>
      <c r="R43" s="41"/>
      <c r="S43" s="29"/>
      <c r="T43" s="14"/>
      <c r="U43" s="14"/>
      <c r="V43" s="30"/>
    </row>
    <row r="44" spans="1:22" s="33" customFormat="1" ht="14.25" customHeight="1">
      <c r="A44" s="16">
        <v>38</v>
      </c>
      <c r="B44" s="75" t="s">
        <v>89</v>
      </c>
      <c r="C44" s="18" t="s">
        <v>27</v>
      </c>
      <c r="D44" s="76"/>
      <c r="E44" s="20"/>
      <c r="F44" s="21"/>
      <c r="G44" s="21"/>
      <c r="H44" s="39">
        <v>304526</v>
      </c>
      <c r="I44" s="23"/>
      <c r="J44" s="39"/>
      <c r="K44" s="39"/>
      <c r="L44" s="39"/>
      <c r="M44" s="39"/>
      <c r="N44" s="26"/>
      <c r="O44" s="27"/>
      <c r="P44" s="12"/>
      <c r="Q44" s="12"/>
      <c r="R44" s="41"/>
      <c r="S44" s="29"/>
      <c r="T44" s="14"/>
      <c r="U44" s="14"/>
      <c r="V44" s="30"/>
    </row>
    <row r="45" spans="1:22" s="33" customFormat="1" ht="14.25" customHeight="1">
      <c r="A45" s="16">
        <v>39</v>
      </c>
      <c r="B45" s="75" t="s">
        <v>90</v>
      </c>
      <c r="C45" s="18"/>
      <c r="D45" s="76"/>
      <c r="E45" s="20"/>
      <c r="F45" s="21"/>
      <c r="G45" s="21">
        <v>3078000</v>
      </c>
      <c r="H45" s="39"/>
      <c r="I45" s="23"/>
      <c r="J45" s="39"/>
      <c r="K45" s="39"/>
      <c r="L45" s="39"/>
      <c r="M45" s="39"/>
      <c r="N45" s="26"/>
      <c r="O45" s="27"/>
      <c r="P45" s="12"/>
      <c r="Q45" s="12"/>
      <c r="R45" s="41"/>
      <c r="S45" s="29"/>
      <c r="T45" s="14"/>
      <c r="U45" s="14"/>
      <c r="V45" s="30"/>
    </row>
    <row r="46" spans="1:22" s="33" customFormat="1" ht="14.25" customHeight="1">
      <c r="A46" s="16">
        <v>40</v>
      </c>
      <c r="B46" s="75" t="s">
        <v>91</v>
      </c>
      <c r="C46" s="18"/>
      <c r="D46" s="76"/>
      <c r="E46" s="20"/>
      <c r="F46" s="21"/>
      <c r="G46" s="21">
        <v>450</v>
      </c>
      <c r="H46" s="39"/>
      <c r="I46" s="23"/>
      <c r="J46" s="39"/>
      <c r="K46" s="39"/>
      <c r="L46" s="39"/>
      <c r="M46" s="39"/>
      <c r="N46" s="26"/>
      <c r="O46" s="27"/>
      <c r="P46" s="12"/>
      <c r="Q46" s="12"/>
      <c r="R46" s="41"/>
      <c r="S46" s="29"/>
      <c r="T46" s="14"/>
      <c r="U46" s="14"/>
      <c r="V46" s="30"/>
    </row>
    <row r="47" spans="1:22" s="33" customFormat="1" ht="14.25" customHeight="1">
      <c r="A47" s="50"/>
      <c r="B47" s="51" t="s">
        <v>82</v>
      </c>
      <c r="C47" s="52"/>
      <c r="D47" s="53"/>
      <c r="E47" s="54"/>
      <c r="F47" s="55"/>
      <c r="G47" s="77"/>
      <c r="H47" s="56"/>
      <c r="I47" s="56"/>
      <c r="J47" s="56"/>
      <c r="K47" s="56"/>
      <c r="L47" s="56"/>
      <c r="M47" s="56"/>
      <c r="N47" s="26"/>
      <c r="O47" s="57"/>
      <c r="P47" s="58"/>
      <c r="Q47" s="58"/>
      <c r="R47" s="59"/>
      <c r="S47" s="60"/>
      <c r="T47" s="58"/>
      <c r="U47" s="58"/>
      <c r="V47" s="61"/>
    </row>
    <row r="48" spans="1:22" s="33" customFormat="1" ht="14.25" customHeight="1">
      <c r="A48" s="62"/>
      <c r="B48" s="63" t="s">
        <v>92</v>
      </c>
      <c r="C48" s="64"/>
      <c r="D48" s="65"/>
      <c r="E48" s="66"/>
      <c r="F48" s="67">
        <f>F42+F43+F44</f>
        <v>1688472.84</v>
      </c>
      <c r="G48" s="67">
        <f>SUM(G42:G47)</f>
        <v>13284090.74</v>
      </c>
      <c r="H48" s="67">
        <f>SUM(H42:H47)</f>
        <v>366691.99</v>
      </c>
      <c r="I48" s="68">
        <f>I42</f>
        <v>0</v>
      </c>
      <c r="J48" s="68">
        <f>SUM(J42:J47)</f>
        <v>0</v>
      </c>
      <c r="K48" s="68">
        <f t="shared" ref="K48:O48" si="7">SUM(K42:K47)</f>
        <v>0</v>
      </c>
      <c r="L48" s="68">
        <f t="shared" si="7"/>
        <v>0</v>
      </c>
      <c r="M48" s="68">
        <f t="shared" si="7"/>
        <v>0</v>
      </c>
      <c r="N48" s="78">
        <f t="shared" si="7"/>
        <v>0</v>
      </c>
      <c r="O48" s="78">
        <f t="shared" si="7"/>
        <v>10267806.73</v>
      </c>
      <c r="P48" s="71"/>
      <c r="Q48" s="71"/>
      <c r="R48" s="72"/>
      <c r="S48" s="73"/>
      <c r="T48" s="71"/>
      <c r="U48" s="71"/>
      <c r="V48" s="74"/>
    </row>
    <row r="49" spans="1:22" s="33" customFormat="1" ht="14.25" customHeight="1">
      <c r="A49" s="16">
        <v>41</v>
      </c>
      <c r="B49" s="34" t="s">
        <v>93</v>
      </c>
      <c r="C49" s="18" t="s">
        <v>27</v>
      </c>
      <c r="D49" s="79" t="s">
        <v>94</v>
      </c>
      <c r="E49" s="20" t="s">
        <v>33</v>
      </c>
      <c r="F49" s="21">
        <v>-28235.18</v>
      </c>
      <c r="G49" s="21">
        <v>0</v>
      </c>
      <c r="H49" s="38">
        <v>21287.85</v>
      </c>
      <c r="I49" s="80" t="str">
        <f>IF((G49+H49-U49)*0.01&gt;0,(G49+H49-U49)*0.01,"")</f>
        <v/>
      </c>
      <c r="J49" s="39"/>
      <c r="K49" s="39"/>
      <c r="L49" s="39"/>
      <c r="M49" s="39"/>
      <c r="N49" s="81">
        <f>(J49+K49+L49+M49)*0.015</f>
        <v>0</v>
      </c>
      <c r="O49" s="27">
        <f>G49+H49+J49+K49+L49+M49</f>
        <v>21287.85</v>
      </c>
      <c r="P49" s="12"/>
      <c r="Q49" s="12"/>
      <c r="R49" s="41"/>
      <c r="S49" s="29"/>
      <c r="T49" s="14" t="s">
        <v>95</v>
      </c>
      <c r="U49" s="14">
        <v>48770</v>
      </c>
      <c r="V49" s="30">
        <f>U49/O49</f>
        <v>2.2909781870879402</v>
      </c>
    </row>
    <row r="50" spans="1:22" s="33" customFormat="1" ht="14.25" customHeight="1">
      <c r="A50" s="16">
        <v>42</v>
      </c>
      <c r="B50" s="75"/>
      <c r="C50" s="18"/>
      <c r="D50" s="76"/>
      <c r="E50" s="20"/>
      <c r="F50" s="82"/>
      <c r="G50" s="21"/>
      <c r="H50" s="39"/>
      <c r="I50" s="23"/>
      <c r="J50" s="39"/>
      <c r="K50" s="39"/>
      <c r="L50" s="39"/>
      <c r="M50" s="39"/>
      <c r="N50" s="81"/>
      <c r="O50" s="27"/>
      <c r="P50" s="12"/>
      <c r="Q50" s="12"/>
      <c r="R50" s="41"/>
      <c r="S50" s="29"/>
      <c r="T50" s="14"/>
      <c r="U50" s="14"/>
      <c r="V50" s="30"/>
    </row>
    <row r="51" spans="1:22" s="33" customFormat="1" ht="14.25" customHeight="1">
      <c r="A51" s="50"/>
      <c r="B51" s="51" t="s">
        <v>82</v>
      </c>
      <c r="C51" s="52"/>
      <c r="D51" s="53"/>
      <c r="E51" s="54"/>
      <c r="F51" s="55"/>
      <c r="G51" s="77"/>
      <c r="H51" s="56"/>
      <c r="I51" s="56"/>
      <c r="J51" s="56"/>
      <c r="K51" s="56"/>
      <c r="L51" s="56"/>
      <c r="M51" s="56"/>
      <c r="N51" s="83"/>
      <c r="O51" s="57"/>
      <c r="P51" s="58"/>
      <c r="Q51" s="58"/>
      <c r="R51" s="59"/>
      <c r="S51" s="60"/>
      <c r="T51" s="58"/>
      <c r="U51" s="58"/>
      <c r="V51" s="61"/>
    </row>
    <row r="52" spans="1:22" s="33" customFormat="1" ht="14.25" customHeight="1">
      <c r="A52" s="62"/>
      <c r="B52" s="63" t="s">
        <v>96</v>
      </c>
      <c r="C52" s="64"/>
      <c r="D52" s="65"/>
      <c r="E52" s="66"/>
      <c r="F52" s="67">
        <f>F49+F50</f>
        <v>-28235.18</v>
      </c>
      <c r="G52" s="67">
        <f>G49</f>
        <v>0</v>
      </c>
      <c r="H52" s="67">
        <f>H49</f>
        <v>21287.85</v>
      </c>
      <c r="I52" s="78" t="str">
        <f>I49</f>
        <v/>
      </c>
      <c r="J52" s="68">
        <f>SUM(J49:J51)</f>
        <v>0</v>
      </c>
      <c r="K52" s="68">
        <f t="shared" ref="K52:O52" si="8">SUM(K49:K51)</f>
        <v>0</v>
      </c>
      <c r="L52" s="68">
        <f t="shared" si="8"/>
        <v>0</v>
      </c>
      <c r="M52" s="68">
        <f t="shared" si="8"/>
        <v>0</v>
      </c>
      <c r="N52" s="78">
        <f t="shared" si="8"/>
        <v>0</v>
      </c>
      <c r="O52" s="78">
        <f t="shared" si="8"/>
        <v>21287.85</v>
      </c>
      <c r="P52" s="71"/>
      <c r="Q52" s="71"/>
      <c r="R52" s="72"/>
      <c r="S52" s="73"/>
      <c r="T52" s="71"/>
      <c r="U52" s="71"/>
      <c r="V52" s="74"/>
    </row>
    <row r="53" spans="1:22" s="90" customFormat="1" ht="14.25" customHeight="1">
      <c r="A53" s="84"/>
      <c r="B53" s="85" t="s">
        <v>97</v>
      </c>
      <c r="C53" s="86"/>
      <c r="D53" s="87"/>
      <c r="E53" s="86"/>
      <c r="F53" s="88">
        <f>F52+F48+F41</f>
        <v>2438343.8800000004</v>
      </c>
      <c r="G53" s="88">
        <f t="shared" ref="G53:O53" si="9">G52+G48+G41</f>
        <v>13301109.470000001</v>
      </c>
      <c r="H53" s="88">
        <f t="shared" si="9"/>
        <v>414984.04</v>
      </c>
      <c r="I53" s="88" t="e">
        <f t="shared" si="9"/>
        <v>#VALUE!</v>
      </c>
      <c r="J53" s="88">
        <f t="shared" si="9"/>
        <v>87157.89</v>
      </c>
      <c r="K53" s="88">
        <f t="shared" si="9"/>
        <v>0</v>
      </c>
      <c r="L53" s="88">
        <f t="shared" si="9"/>
        <v>339972.01</v>
      </c>
      <c r="M53" s="88">
        <f t="shared" si="9"/>
        <v>0</v>
      </c>
      <c r="N53" s="88">
        <f t="shared" si="9"/>
        <v>3823.8284999999987</v>
      </c>
      <c r="O53" s="88">
        <f t="shared" si="9"/>
        <v>10760247.41</v>
      </c>
      <c r="P53" s="71"/>
      <c r="Q53" s="71"/>
      <c r="R53" s="71"/>
      <c r="S53" s="71"/>
      <c r="T53" s="71"/>
      <c r="U53" s="71"/>
      <c r="V53" s="89"/>
    </row>
    <row r="54" spans="1:22" s="91" customFormat="1" ht="27" customHeight="1"/>
    <row r="55" spans="1:22" s="91" customFormat="1" ht="15" customHeight="1"/>
    <row r="56" spans="1:22" s="91" customFormat="1" ht="15" customHeight="1"/>
    <row r="59" spans="1:22" ht="15" customHeight="1">
      <c r="P59" s="2"/>
      <c r="Q59" s="2"/>
      <c r="R59" s="2"/>
      <c r="S59" s="97"/>
      <c r="T59" s="97"/>
      <c r="U59" s="97"/>
      <c r="V59" s="97"/>
    </row>
    <row r="60" spans="1:22" ht="15" customHeight="1">
      <c r="P60" s="2"/>
      <c r="Q60" s="2"/>
      <c r="R60" s="2"/>
      <c r="S60" s="97"/>
      <c r="T60" s="97"/>
      <c r="U60" s="97"/>
      <c r="V60" s="97"/>
    </row>
    <row r="61" spans="1:22" ht="15" customHeight="1">
      <c r="A61" s="255" t="s">
        <v>98</v>
      </c>
      <c r="B61" s="255"/>
      <c r="C61" s="255"/>
      <c r="D61" s="255"/>
      <c r="E61" s="255"/>
      <c r="F61" s="255"/>
      <c r="G61" s="255"/>
      <c r="H61" s="255"/>
      <c r="I61" s="255"/>
      <c r="J61" s="255"/>
      <c r="K61" s="255"/>
      <c r="L61" s="255"/>
      <c r="M61" s="255"/>
      <c r="N61" s="255"/>
      <c r="O61" s="255"/>
      <c r="P61" s="255"/>
      <c r="Q61" s="255"/>
      <c r="R61" s="255"/>
      <c r="S61" s="255"/>
      <c r="T61" s="255"/>
      <c r="U61" s="255"/>
      <c r="V61" s="255"/>
    </row>
    <row r="62" spans="1:22" ht="15" customHeight="1">
      <c r="A62" s="251" t="s">
        <v>99</v>
      </c>
      <c r="B62" s="251"/>
      <c r="C62" s="251"/>
      <c r="D62" s="251"/>
      <c r="E62" s="251"/>
      <c r="F62" s="251"/>
      <c r="G62" s="251"/>
      <c r="H62" s="251"/>
      <c r="I62" s="251"/>
      <c r="J62" s="251"/>
      <c r="K62" s="251"/>
      <c r="L62" s="251"/>
      <c r="M62" s="251"/>
      <c r="N62" s="251"/>
      <c r="O62" s="92"/>
      <c r="P62" s="93"/>
      <c r="Q62" s="93"/>
      <c r="R62" s="93"/>
      <c r="S62" s="93"/>
      <c r="T62" s="93"/>
      <c r="U62" s="93"/>
      <c r="V62" s="91"/>
    </row>
    <row r="63" spans="1:22" ht="15" customHeight="1">
      <c r="A63" s="251" t="s">
        <v>100</v>
      </c>
      <c r="B63" s="251"/>
      <c r="C63" s="251"/>
      <c r="D63" s="251"/>
      <c r="E63" s="251"/>
      <c r="F63" s="251"/>
      <c r="G63" s="251"/>
      <c r="H63" s="251"/>
      <c r="I63" s="251"/>
      <c r="J63" s="251"/>
      <c r="K63" s="251"/>
      <c r="L63" s="251"/>
      <c r="M63" s="251"/>
      <c r="N63" s="251"/>
      <c r="O63" s="92"/>
      <c r="P63" s="93"/>
      <c r="Q63" s="93"/>
      <c r="R63" s="93"/>
      <c r="S63" s="93"/>
      <c r="T63" s="93"/>
      <c r="U63" s="93"/>
      <c r="V63" s="91"/>
    </row>
    <row r="64" spans="1:22" ht="15" customHeight="1">
      <c r="A64" s="94" t="s">
        <v>101</v>
      </c>
      <c r="B64" s="95"/>
      <c r="C64" s="95"/>
      <c r="D64" s="5"/>
      <c r="E64" s="5"/>
      <c r="F64" s="5"/>
      <c r="G64" s="5"/>
      <c r="H64" s="5"/>
      <c r="J64" s="5"/>
      <c r="K64" s="5"/>
      <c r="L64" s="5"/>
      <c r="M64" s="5"/>
      <c r="P64" s="2"/>
      <c r="Q64" s="2"/>
      <c r="R64" s="96"/>
      <c r="S64" s="96"/>
      <c r="T64" s="96"/>
      <c r="U64" s="96"/>
      <c r="V64" s="2"/>
    </row>
    <row r="65" spans="1:22" ht="15" customHeight="1">
      <c r="A65" s="94" t="s">
        <v>102</v>
      </c>
      <c r="B65" s="95"/>
      <c r="C65" s="95"/>
      <c r="D65" s="5"/>
      <c r="E65" s="5"/>
      <c r="F65" s="5"/>
      <c r="G65" s="5"/>
      <c r="H65" s="5"/>
      <c r="J65" s="5"/>
      <c r="K65" s="5"/>
      <c r="L65" s="5"/>
      <c r="M65" s="5"/>
      <c r="P65" s="2"/>
      <c r="Q65" s="2"/>
      <c r="R65" s="2"/>
      <c r="S65" s="97"/>
      <c r="T65" s="97"/>
      <c r="U65" s="97"/>
      <c r="V65" s="97"/>
    </row>
    <row r="70" spans="1:22" ht="15" customHeight="1">
      <c r="O70" s="227"/>
    </row>
  </sheetData>
  <autoFilter ref="A4:V53"/>
  <mergeCells count="19">
    <mergeCell ref="A61:V61"/>
    <mergeCell ref="A62:N62"/>
    <mergeCell ref="A63:N63"/>
    <mergeCell ref="J3:K3"/>
    <mergeCell ref="L3:M3"/>
    <mergeCell ref="N3:N4"/>
    <mergeCell ref="O3:O4"/>
    <mergeCell ref="P3:S3"/>
    <mergeCell ref="A1:U1"/>
    <mergeCell ref="A2:E2"/>
    <mergeCell ref="A3:A4"/>
    <mergeCell ref="B3:B4"/>
    <mergeCell ref="C3:C4"/>
    <mergeCell ref="D3:D4"/>
    <mergeCell ref="E3:E4"/>
    <mergeCell ref="F3:F4"/>
    <mergeCell ref="G3:H3"/>
    <mergeCell ref="I3:I4"/>
    <mergeCell ref="T3:V3"/>
  </mergeCells>
  <phoneticPr fontId="3" type="noConversion"/>
  <printOptions horizontalCentered="1"/>
  <pageMargins left="0.31496062992125984" right="0.31496062992125984" top="0.68" bottom="0.55118110236220474" header="0.31496062992125984" footer="0.31496062992125984"/>
  <pageSetup paperSize="9" scale="88" orientation="landscape" horizontalDpi="200" verticalDpi="200" r:id="rId1"/>
  <legacyDrawing r:id="rId2"/>
</worksheet>
</file>

<file path=xl/worksheets/sheet3.xml><?xml version="1.0" encoding="utf-8"?>
<worksheet xmlns="http://schemas.openxmlformats.org/spreadsheetml/2006/main" xmlns:r="http://schemas.openxmlformats.org/officeDocument/2006/relationships">
  <sheetPr codeName="Sheet1"/>
  <dimension ref="B1:K6"/>
  <sheetViews>
    <sheetView tabSelected="1" topLeftCell="A71" workbookViewId="0">
      <selection activeCell="A71" sqref="A71"/>
    </sheetView>
  </sheetViews>
  <sheetFormatPr defaultRowHeight="13.5"/>
  <cols>
    <col min="1" max="1" width="7.25" customWidth="1"/>
    <col min="2" max="2" width="13.5" style="225" customWidth="1"/>
    <col min="3" max="3" width="14.25" style="226" customWidth="1"/>
    <col min="4" max="4" width="12.625" style="226" customWidth="1"/>
    <col min="5" max="5" width="16.75" style="226" customWidth="1"/>
    <col min="6" max="6" width="15" style="226" customWidth="1"/>
    <col min="7" max="11" width="9" style="226"/>
  </cols>
  <sheetData>
    <row r="1" spans="3:11">
      <c r="C1"/>
      <c r="D1"/>
      <c r="E1"/>
      <c r="F1"/>
      <c r="G1"/>
      <c r="H1"/>
      <c r="I1"/>
      <c r="J1"/>
      <c r="K1"/>
    </row>
    <row r="2" spans="3:11">
      <c r="C2"/>
      <c r="D2"/>
      <c r="E2"/>
      <c r="F2"/>
      <c r="G2"/>
      <c r="H2"/>
      <c r="I2"/>
      <c r="J2"/>
      <c r="K2"/>
    </row>
    <row r="3" spans="3:11">
      <c r="C3"/>
      <c r="D3"/>
      <c r="E3"/>
      <c r="F3"/>
      <c r="G3"/>
      <c r="H3"/>
      <c r="I3"/>
      <c r="J3"/>
      <c r="K3"/>
    </row>
    <row r="4" spans="3:11">
      <c r="C4"/>
      <c r="D4"/>
      <c r="E4"/>
      <c r="F4"/>
      <c r="G4"/>
      <c r="H4"/>
      <c r="I4"/>
      <c r="J4"/>
      <c r="K4"/>
    </row>
    <row r="5" spans="3:11">
      <c r="C5"/>
      <c r="D5"/>
      <c r="E5"/>
      <c r="F5"/>
      <c r="G5"/>
      <c r="H5"/>
      <c r="I5"/>
      <c r="J5"/>
      <c r="K5"/>
    </row>
    <row r="6" spans="3:11">
      <c r="C6"/>
      <c r="D6"/>
      <c r="E6"/>
      <c r="F6"/>
      <c r="G6"/>
      <c r="H6"/>
      <c r="I6"/>
      <c r="J6"/>
      <c r="K6"/>
    </row>
  </sheetData>
  <phoneticPr fontId="3" type="noConversion"/>
  <pageMargins left="0.7" right="0.7" top="0.75" bottom="0.75" header="0.3" footer="0.3"/>
  <legacyDrawing r:id="rId1"/>
  <controls>
    <control shapeId="4097" r:id="rId2" name="CommandButton1"/>
  </controls>
</worksheet>
</file>

<file path=xl/worksheets/sheet4.xml><?xml version="1.0" encoding="utf-8"?>
<worksheet xmlns="http://schemas.openxmlformats.org/spreadsheetml/2006/main" xmlns:r="http://schemas.openxmlformats.org/officeDocument/2006/relationships">
  <sheetPr codeName="Sheet13"/>
  <dimension ref="D13:N37"/>
  <sheetViews>
    <sheetView topLeftCell="A70" workbookViewId="0">
      <selection activeCell="A70" sqref="A70"/>
    </sheetView>
  </sheetViews>
  <sheetFormatPr defaultRowHeight="13.5"/>
  <cols>
    <col min="7" max="7" width="15.875" customWidth="1"/>
    <col min="13" max="13" width="14.125" customWidth="1"/>
  </cols>
  <sheetData>
    <row r="13" spans="4:14">
      <c r="D13" s="225"/>
      <c r="E13" s="226"/>
      <c r="F13" s="226"/>
      <c r="G13" s="226"/>
      <c r="H13" s="226"/>
      <c r="J13" s="225"/>
      <c r="K13" s="226"/>
      <c r="L13" s="226"/>
      <c r="M13" s="226"/>
      <c r="N13" s="226"/>
    </row>
    <row r="14" spans="4:14">
      <c r="D14" s="225"/>
      <c r="E14" s="226"/>
      <c r="F14" s="226"/>
      <c r="G14" s="226"/>
      <c r="H14" s="226"/>
      <c r="J14" s="225"/>
      <c r="K14" s="226"/>
      <c r="L14" s="226"/>
      <c r="M14" s="226"/>
      <c r="N14" s="226"/>
    </row>
    <row r="15" spans="4:14">
      <c r="D15" s="225"/>
      <c r="E15" s="226"/>
      <c r="F15" s="226"/>
      <c r="G15" s="226"/>
      <c r="H15" s="226"/>
      <c r="J15" s="225"/>
      <c r="K15" s="226"/>
      <c r="L15" s="226"/>
      <c r="M15" s="226"/>
      <c r="N15" s="226"/>
    </row>
    <row r="16" spans="4:14">
      <c r="D16" s="225"/>
      <c r="E16" s="226"/>
      <c r="F16" s="226"/>
      <c r="G16" s="226"/>
      <c r="H16" s="226"/>
      <c r="J16" s="225"/>
      <c r="K16" s="226"/>
      <c r="L16" s="226"/>
      <c r="M16" s="226"/>
      <c r="N16" s="226"/>
    </row>
    <row r="17" spans="4:14">
      <c r="D17" s="225"/>
      <c r="E17" s="226"/>
      <c r="F17" s="226"/>
      <c r="G17" s="226"/>
      <c r="H17" s="226"/>
      <c r="J17" s="225"/>
      <c r="K17" s="226"/>
      <c r="L17" s="226"/>
      <c r="M17" s="226"/>
      <c r="N17" s="226"/>
    </row>
    <row r="18" spans="4:14">
      <c r="D18" s="225"/>
      <c r="E18" s="226"/>
      <c r="F18" s="226"/>
      <c r="G18" s="226"/>
      <c r="H18" s="226"/>
      <c r="J18" s="225"/>
      <c r="K18" s="226"/>
      <c r="L18" s="226"/>
      <c r="M18" s="226"/>
      <c r="N18" s="226"/>
    </row>
    <row r="19" spans="4:14">
      <c r="D19" s="225"/>
      <c r="E19" s="226"/>
      <c r="F19" s="226"/>
      <c r="G19" s="226"/>
      <c r="H19" s="226"/>
      <c r="J19" s="225"/>
      <c r="K19" s="226"/>
      <c r="L19" s="226"/>
      <c r="M19" s="226"/>
      <c r="N19" s="226"/>
    </row>
    <row r="20" spans="4:14">
      <c r="D20" s="225"/>
      <c r="E20" s="226"/>
      <c r="F20" s="226"/>
      <c r="G20" s="226"/>
      <c r="H20" s="226"/>
      <c r="J20" s="225"/>
      <c r="K20" s="226"/>
      <c r="L20" s="226"/>
      <c r="M20" s="226"/>
      <c r="N20" s="226"/>
    </row>
    <row r="21" spans="4:14">
      <c r="D21" s="225"/>
      <c r="E21" s="226"/>
      <c r="F21" s="226"/>
      <c r="G21" s="226"/>
      <c r="H21" s="226"/>
      <c r="J21" s="225"/>
      <c r="K21" s="226"/>
      <c r="L21" s="226"/>
      <c r="M21" s="226"/>
      <c r="N21" s="226"/>
    </row>
    <row r="22" spans="4:14">
      <c r="D22" s="225"/>
      <c r="E22" s="226"/>
      <c r="F22" s="226"/>
      <c r="G22" s="226"/>
      <c r="H22" s="226"/>
      <c r="J22" s="225"/>
      <c r="K22" s="226"/>
      <c r="L22" s="226"/>
      <c r="M22" s="226"/>
      <c r="N22" s="226"/>
    </row>
    <row r="23" spans="4:14">
      <c r="D23" s="225"/>
      <c r="E23" s="226"/>
      <c r="F23" s="226"/>
      <c r="G23" s="226"/>
      <c r="H23" s="226"/>
      <c r="J23" s="225"/>
      <c r="K23" s="226"/>
      <c r="L23" s="226"/>
      <c r="M23" s="226"/>
      <c r="N23" s="226"/>
    </row>
    <row r="24" spans="4:14">
      <c r="D24" s="225"/>
      <c r="E24" s="226"/>
      <c r="F24" s="226"/>
      <c r="G24" s="226"/>
      <c r="H24" s="226"/>
      <c r="J24" s="225"/>
      <c r="K24" s="226"/>
      <c r="L24" s="226"/>
      <c r="M24" s="226"/>
      <c r="N24" s="226"/>
    </row>
    <row r="25" spans="4:14">
      <c r="D25" s="225"/>
      <c r="E25" s="226"/>
      <c r="F25" s="226"/>
      <c r="G25" s="226"/>
      <c r="H25" s="226"/>
      <c r="J25" s="225"/>
      <c r="K25" s="226"/>
      <c r="L25" s="226"/>
      <c r="M25" s="226"/>
      <c r="N25" s="226"/>
    </row>
    <row r="26" spans="4:14">
      <c r="D26" s="225"/>
      <c r="E26" s="226"/>
      <c r="F26" s="226"/>
      <c r="G26" s="226"/>
      <c r="H26" s="226"/>
      <c r="J26" s="225"/>
      <c r="K26" s="226"/>
      <c r="L26" s="226"/>
      <c r="M26" s="226"/>
      <c r="N26" s="226"/>
    </row>
    <row r="27" spans="4:14">
      <c r="D27" s="225"/>
      <c r="E27" s="226"/>
      <c r="F27" s="226"/>
      <c r="G27" s="226"/>
      <c r="H27" s="226"/>
      <c r="J27" s="225"/>
      <c r="K27" s="226"/>
      <c r="L27" s="226"/>
      <c r="M27" s="226"/>
      <c r="N27" s="226"/>
    </row>
    <row r="28" spans="4:14">
      <c r="D28" s="225"/>
      <c r="E28" s="226"/>
      <c r="F28" s="226"/>
      <c r="G28" s="226"/>
      <c r="H28" s="226"/>
      <c r="J28" s="225"/>
      <c r="K28" s="226"/>
      <c r="L28" s="226"/>
      <c r="M28" s="226"/>
      <c r="N28" s="226"/>
    </row>
    <row r="29" spans="4:14">
      <c r="D29" s="225"/>
      <c r="E29" s="226"/>
      <c r="F29" s="226"/>
      <c r="G29" s="226"/>
      <c r="H29" s="226"/>
      <c r="J29" s="225"/>
      <c r="K29" s="226"/>
      <c r="L29" s="226"/>
      <c r="M29" s="226"/>
      <c r="N29" s="226"/>
    </row>
    <row r="30" spans="4:14">
      <c r="D30" s="225"/>
      <c r="E30" s="226"/>
      <c r="F30" s="226"/>
      <c r="G30" s="226"/>
      <c r="H30" s="226"/>
      <c r="J30" s="225"/>
      <c r="K30" s="226"/>
      <c r="L30" s="226"/>
      <c r="M30" s="226"/>
      <c r="N30" s="226"/>
    </row>
    <row r="31" spans="4:14">
      <c r="D31" s="225"/>
      <c r="E31" s="226"/>
      <c r="F31" s="226"/>
      <c r="G31" s="226"/>
      <c r="H31" s="226"/>
      <c r="J31" s="225"/>
      <c r="K31" s="226"/>
      <c r="L31" s="226"/>
      <c r="M31" s="226"/>
      <c r="N31" s="226"/>
    </row>
    <row r="32" spans="4:14">
      <c r="D32" s="225"/>
      <c r="E32" s="226"/>
      <c r="F32" s="226"/>
      <c r="G32" s="226"/>
      <c r="H32" s="226"/>
      <c r="J32" s="225"/>
      <c r="K32" s="226"/>
      <c r="L32" s="226"/>
      <c r="M32" s="226"/>
      <c r="N32" s="226"/>
    </row>
    <row r="33" spans="4:14">
      <c r="D33" s="225"/>
      <c r="E33" s="226"/>
      <c r="F33" s="226"/>
      <c r="G33" s="226"/>
      <c r="H33" s="226"/>
      <c r="J33" s="225"/>
      <c r="K33" s="226"/>
      <c r="L33" s="226"/>
      <c r="M33" s="226"/>
      <c r="N33" s="226"/>
    </row>
    <row r="34" spans="4:14">
      <c r="D34" s="225"/>
      <c r="E34" s="226"/>
      <c r="F34" s="226"/>
      <c r="G34" s="226"/>
      <c r="H34" s="226"/>
      <c r="J34" s="225"/>
      <c r="K34" s="226"/>
      <c r="L34" s="226"/>
      <c r="M34" s="226"/>
      <c r="N34" s="226"/>
    </row>
    <row r="35" spans="4:14">
      <c r="D35" s="225"/>
      <c r="E35" s="226"/>
      <c r="F35" s="226"/>
      <c r="G35" s="226"/>
      <c r="H35" s="226"/>
      <c r="J35" s="225"/>
      <c r="K35" s="226"/>
      <c r="L35" s="226"/>
      <c r="M35" s="226"/>
      <c r="N35" s="226"/>
    </row>
    <row r="36" spans="4:14">
      <c r="D36" s="225"/>
      <c r="E36" s="226"/>
      <c r="F36" s="226"/>
      <c r="G36" s="226"/>
      <c r="H36" s="226"/>
      <c r="J36" s="225"/>
      <c r="K36" s="226"/>
      <c r="L36" s="226"/>
      <c r="M36" s="226"/>
      <c r="N36" s="226"/>
    </row>
    <row r="37" spans="4:14">
      <c r="D37" s="225"/>
      <c r="E37" s="226"/>
      <c r="F37" s="226"/>
      <c r="G37" s="226"/>
      <c r="H37" s="226"/>
      <c r="J37" s="225"/>
      <c r="K37" s="226"/>
      <c r="L37" s="226"/>
      <c r="M37" s="226"/>
      <c r="N37" s="226"/>
    </row>
  </sheetData>
  <phoneticPr fontId="3"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14"/>
  <dimension ref="A1"/>
  <sheetViews>
    <sheetView topLeftCell="A70" workbookViewId="0">
      <selection activeCell="A70" sqref="A70"/>
    </sheetView>
  </sheetViews>
  <sheetFormatPr defaultRowHeight="13.5"/>
  <sheetData/>
  <phoneticPr fontId="3"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5"/>
  <dimension ref="A1"/>
  <sheetViews>
    <sheetView topLeftCell="A70" workbookViewId="0">
      <selection activeCell="A70" sqref="A70"/>
    </sheetView>
  </sheetViews>
  <sheetFormatPr defaultRowHeight="13.5"/>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锦聚成</vt:lpstr>
      <vt:lpstr>庞氏</vt:lpstr>
      <vt:lpstr>汇总表</vt:lpstr>
      <vt:lpstr>Sheet8</vt:lpstr>
      <vt:lpstr>Sheet9</vt:lpstr>
      <vt:lpstr>Sheet10</vt:lpstr>
    </vt:vector>
  </TitlesOfParts>
  <Company>china</Company>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sun baolu/孙宝禄</cp:lastModifiedBy>
  <dcterms:created xsi:type="dcterms:W3CDTF">2016-11-23T01:24:43Z</dcterms:created>
  <dcterms:modified xsi:type="dcterms:W3CDTF">2017-09-18T10:05:02Z</dcterms:modified>
</cp:coreProperties>
</file>